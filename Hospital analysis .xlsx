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sus\Hospital analysis\"/>
    </mc:Choice>
  </mc:AlternateContent>
  <xr:revisionPtr revIDLastSave="0" documentId="13_ncr:1_{352D59EE-B41B-4EA3-8771-AF872A293113}" xr6:coauthVersionLast="47" xr6:coauthVersionMax="47" xr10:uidLastSave="{00000000-0000-0000-0000-000000000000}"/>
  <bookViews>
    <workbookView xWindow="-108" yWindow="-108" windowWidth="23256" windowHeight="12456" activeTab="1" xr2:uid="{BE3DD0C0-C87E-44A3-97B6-2D689B9B19E3}"/>
  </bookViews>
  <sheets>
    <sheet name="Pivot report" sheetId="1" r:id="rId1"/>
    <sheet name="Dashboard" sheetId="2" r:id="rId2"/>
    <sheet name="No. of patient" sheetId="3" r:id="rId3"/>
    <sheet name="Avg. waittime" sheetId="4" r:id="rId4"/>
    <sheet name="Score" sheetId="5" r:id="rId5"/>
  </sheets>
  <definedNames>
    <definedName name="Slicer_Date__Month">#N/A</definedName>
    <definedName name="Slicer_Date__Year">#N/A</definedName>
  </definedNames>
  <calcPr calcId="191029"/>
  <pivotCaches>
    <pivotCache cacheId="16" r:id="rId6"/>
    <pivotCache cacheId="19" r:id="rId7"/>
    <pivotCache cacheId="22" r:id="rId8"/>
    <pivotCache cacheId="25" r:id="rId9"/>
    <pivotCache cacheId="28" r:id="rId10"/>
    <pivotCache cacheId="31" r:id="rId11"/>
    <pivotCache cacheId="34" r:id="rId12"/>
    <pivotCache cacheId="37" r:id="rId13"/>
    <pivotCache cacheId="40" r:id="rId14"/>
    <pivotCache cacheId="43" r:id="rId15"/>
    <pivotCache cacheId="46" r:id="rId16"/>
    <pivotCache cacheId="49" r:id="rId17"/>
    <pivotCache cacheId="5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93b2a19-7714-4075-b826-460eb62bfcd0" name="Hospital Emergency Room Data" connection="Query - Hospital Emergency Room Data"/>
          <x15:modelTable id="calender Table_edd24f3f-1d12-4f9d-88d9-4277cd8fca5e"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C48" i="1"/>
  <c r="B49" i="1"/>
  <c r="B48" i="1"/>
  <c r="A49"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B3D03-8B5D-4242-B189-687C8CD0CE73}" name="Query - calender Table" description="Connection to the 'calender Table' query in the workbook." type="100" refreshedVersion="8" minRefreshableVersion="5">
    <extLst>
      <ext xmlns:x15="http://schemas.microsoft.com/office/spreadsheetml/2010/11/main" uri="{DE250136-89BD-433C-8126-D09CA5730AF9}">
        <x15:connection id="3444356d-074d-4185-a386-3c7c49910142"/>
      </ext>
    </extLst>
  </connection>
  <connection id="2" xr16:uid="{47EC14DC-1B17-400C-B33C-143BD884949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66a0524-1b39-4a64-b790-a64af6aeb347"/>
      </ext>
    </extLst>
  </connection>
  <connection id="3" xr16:uid="{8D78D3CF-B97C-4E5E-A57F-E552B854E11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<sst xmlns="http://schemas.openxmlformats.org/spreadsheetml/2006/main" count="1159" uniqueCount="407">
  <si>
    <t>Count of Patient Id</t>
  </si>
  <si>
    <t>Distinct Count of Patient Id</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</si>
  <si>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</si>
  <si>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</si>
  <si>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</si>
  <si>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</si>
  <si>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</si>
  <si>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</si>
  <si>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</si>
  <si>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</si>
  <si>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</si>
  <si>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</si>
  <si>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</si>
  <si>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</si>
  <si>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</si>
  <si>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</si>
  <si>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</si>
  <si>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</si>
  <si>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</si>
  <si>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</si>
  <si>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</si>
  <si>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</si>
  <si>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</si>
  <si>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</si>
  <si>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</si>
  <si>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</si>
  <si>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</si>
  <si>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</si>
  <si>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</si>
  <si>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</si>
  <si>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</si>
  <si>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</si>
  <si>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</si>
  <si>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</si>
  <si>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</si>
  <si>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</si>
  <si>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</si>
  <si>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 of no. of patients</t>
  </si>
  <si>
    <t>avg wait time</t>
  </si>
  <si>
    <t>satisfaction score</t>
  </si>
  <si>
    <t>Delay</t>
  </si>
  <si>
    <t>Ontime</t>
  </si>
  <si>
    <t>Admitted</t>
  </si>
  <si>
    <t>Not Admitted</t>
  </si>
  <si>
    <t>Count of Patient Admission Flag</t>
  </si>
  <si>
    <t>0-09</t>
  </si>
  <si>
    <t>10-19</t>
  </si>
  <si>
    <t>20-29</t>
  </si>
  <si>
    <t>30-39</t>
  </si>
  <si>
    <t>40-49</t>
  </si>
  <si>
    <t>50-59</t>
  </si>
  <si>
    <t>60-69</t>
  </si>
  <si>
    <t>70-79</t>
  </si>
  <si>
    <t>Count of Age Group</t>
  </si>
  <si>
    <t>Count of Pat. Attained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</si>
  <si>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</si>
  <si>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</si>
  <si>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</si>
  <si>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</si>
  <si>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</si>
  <si>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</si>
  <si>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</si>
  <si>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</si>
  <si>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</si>
  <si>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</si>
  <si>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</si>
  <si>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</si>
  <si>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</si>
  <si>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2024</t>
  </si>
  <si>
    <t>Admission Status</t>
  </si>
  <si>
    <t>% Status</t>
  </si>
  <si>
    <t>No. of patient</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</si>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</sst>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Times New Roman"/>
      <family val="2"/>
    </font>
    <font>
      <b/>
      <sz val="14"/>
      <color theme="1"/>
      <name val="Times New Roman"/>
      <family val="1"/>
    </font>
    <font>
      <sz val="14"/>
      <color theme="1"/>
      <name val="Times New Roman"/>
      <family val="2"/>
    </font>
  </fonts>
  <fills count="5">
    <fill>
      <patternFill patternType="none"/>
    </fill>
    <fill>
      <patternFill patternType="gray125"/>
    </fill>
    <fill>
      <patternFill patternType="solid">
        <fgColor theme="1" tint="0.249977111117893"/>
        <bgColor indexed="64"/>
      </patternFill>
    </fill>
    <fill>
      <patternFill patternType="solid">
        <fgColor theme="3" tint="0.49998474074526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1" fillId="3" borderId="0" xfId="0" applyFont="1" applyFill="1" applyAlignment="1">
      <alignment horizontal="center" vertical="center"/>
    </xf>
    <xf numFmtId="0" fontId="1" fillId="0" borderId="0" xfId="0" applyFont="1" applyAlignment="1">
      <alignment horizontal="center" vertical="center"/>
    </xf>
    <xf numFmtId="10" fontId="1" fillId="0" borderId="0" xfId="0" applyNumberFormat="1" applyFont="1" applyAlignment="1">
      <alignment horizontal="center" vertical="center"/>
    </xf>
    <xf numFmtId="0" fontId="0" fillId="4" borderId="0" xfId="0" applyFill="1"/>
    <xf numFmtId="0" fontId="2" fillId="4" borderId="0" xfId="0" applyFont="1" applyFill="1" applyAlignment="1">
      <alignment horizontal="center" vertical="center"/>
    </xf>
    <xf numFmtId="0" fontId="2" fillId="0" borderId="0" xfId="0" applyFont="1" applyAlignment="1">
      <alignment horizontal="center" vertical="center"/>
    </xf>
    <xf numFmtId="2" fontId="2" fillId="0" borderId="0" xfId="0" applyNumberFormat="1" applyFont="1" applyAlignment="1">
      <alignment horizontal="center" vertical="center"/>
    </xf>
    <xf numFmtId="10" fontId="2" fillId="0" borderId="0" xfId="0" applyNumberFormat="1" applyFont="1" applyAlignment="1">
      <alignment horizontal="center" vertical="center"/>
    </xf>
    <xf numFmtId="0" fontId="0" fillId="0" borderId="0" xfId="0" applyNumberFormat="1"/>
  </cellXfs>
  <cellStyles count="1">
    <cellStyle name="Normal" xfId="0" builtinId="0"/>
  </cellStyles>
  <dxfs count="32">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s>
  <tableStyles count="1" defaultTableStyle="TableStyleMedium2" defaultPivotStyle="PivotStyleLight16">
    <tableStyle name="Slicer Style 1" pivot="0" table="0" count="3" xr9:uid="{119CECF2-6935-435E-A11E-8DEB37822A64}"/>
  </tableStyles>
  <extLst>
    <ext xmlns:x14="http://schemas.microsoft.com/office/spreadsheetml/2009/9/main" uri="{46F421CA-312F-682f-3DD2-61675219B42D}">
      <x14:dxfs count="3">
        <dxf>
          <font>
            <b/>
            <i val="0"/>
            <sz val="11"/>
            <color theme="1"/>
          </font>
          <fill>
            <patternFill>
              <bgColor theme="3" tint="0.499984740745262"/>
            </patternFill>
          </fill>
        </dxf>
        <dxf>
          <font>
            <b/>
            <i val="0"/>
            <sz val="12"/>
            <color theme="0"/>
          </font>
          <fill>
            <patternFill>
              <bgColor theme="4" tint="-0.24994659260841701"/>
            </patternFill>
          </fill>
          <border diagonalUp="0" diagonalDown="0">
            <left style="thin">
              <color auto="1"/>
            </left>
            <right style="thin">
              <color auto="1"/>
            </right>
            <top style="thin">
              <color auto="1"/>
            </top>
            <bottom style="thin">
              <color auto="1"/>
            </bottom>
            <vertical/>
            <horizontal/>
          </border>
        </dxf>
        <dxf>
          <font>
            <sz val="11"/>
          </font>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report!PivotTable8</c:name>
    <c:fmtId val="0"/>
  </c:pivotSource>
  <c:chart>
    <c:autoTitleDeleted val="1"/>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BD6ADFD7-B29A-413F-8E83-B76203F23B8F}" type="CELLRANGE">
                  <a:rPr lang="en-US"/>
                  <a:pPr>
                    <a:defRPr sz="1050" b="1"/>
                  </a:pPr>
                  <a:t>[CELLRANGE]</a:t>
                </a:fld>
                <a:endParaRPr lang="en-IN"/>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74F99718-567D-4A2E-B85A-B9046A77AF17}" type="CELLRANGE">
                  <a:rPr lang="en-US"/>
                  <a:pPr>
                    <a:defRPr sz="1050" b="1"/>
                  </a:pPr>
                  <a:t>[CELLRANGE]</a:t>
                </a:fld>
                <a:endParaRPr lang="en-IN"/>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19043772084281699"/>
          <c:y val="6.5552926149491542E-2"/>
          <c:w val="0.79279457393932318"/>
          <c:h val="0.93103448275862066"/>
        </c:manualLayout>
      </c:layout>
      <c:barChart>
        <c:barDir val="bar"/>
        <c:grouping val="clustered"/>
        <c:varyColors val="0"/>
        <c:ser>
          <c:idx val="0"/>
          <c:order val="0"/>
          <c:tx>
            <c:strRef>
              <c:f>'Pivot report'!$I$2:$I$3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8C84-4DBE-A421-206D06236A94}"/>
              </c:ext>
            </c:extLst>
          </c:dPt>
          <c:dPt>
            <c:idx val="1"/>
            <c:invertIfNegative val="0"/>
            <c:bubble3D val="0"/>
            <c:extLst>
              <c:ext xmlns:c16="http://schemas.microsoft.com/office/drawing/2014/chart" uri="{C3380CC4-5D6E-409C-BE32-E72D297353CC}">
                <c16:uniqueId val="{00000003-8C84-4DBE-A421-206D06236A94}"/>
              </c:ext>
            </c:extLst>
          </c:dPt>
          <c:dLbls>
            <c:dLbl>
              <c:idx val="0"/>
              <c:tx>
                <c:rich>
                  <a:bodyPr/>
                  <a:lstStyle/>
                  <a:p>
                    <a:fld id="{BD6ADFD7-B29A-413F-8E83-B76203F23B8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C84-4DBE-A421-206D06236A94}"/>
                </c:ext>
              </c:extLst>
            </c:dLbl>
            <c:dLbl>
              <c:idx val="1"/>
              <c:tx>
                <c:rich>
                  <a:bodyPr/>
                  <a:lstStyle/>
                  <a:p>
                    <a:fld id="{74F99718-567D-4A2E-B85A-B9046A77AF1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C84-4DBE-A421-206D06236A94}"/>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report'!$I$2:$I$3</c:f>
              <c:strCache>
                <c:ptCount val="2"/>
                <c:pt idx="0">
                  <c:v>Admitted</c:v>
                </c:pt>
                <c:pt idx="1">
                  <c:v>Not Admitted</c:v>
                </c:pt>
              </c:strCache>
            </c:strRef>
          </c:cat>
          <c:val>
            <c:numRef>
              <c:f>'Pivot report'!$I$2:$I$3</c:f>
              <c:numCache>
                <c:formatCode>0.00</c:formatCode>
                <c:ptCount val="2"/>
                <c:pt idx="0">
                  <c:v>4612</c:v>
                </c:pt>
                <c:pt idx="1">
                  <c:v>4604</c:v>
                </c:pt>
              </c:numCache>
            </c:numRef>
          </c:val>
          <c:extLst>
            <c:ext xmlns:c15="http://schemas.microsoft.com/office/drawing/2012/chart" uri="{02D57815-91ED-43cb-92C2-25804820EDAC}">
              <c15:datalabelsRange>
                <c15:f>'Pivot report'!$I$2:$I$3</c15:f>
                <c15:dlblRangeCache>
                  <c:ptCount val="2"/>
                  <c:pt idx="0">
                    <c:v>50.04%</c:v>
                  </c:pt>
                  <c:pt idx="1">
                    <c:v>49.96%</c:v>
                  </c:pt>
                </c15:dlblRangeCache>
              </c15:datalabelsRange>
            </c:ext>
            <c:ext xmlns:c16="http://schemas.microsoft.com/office/drawing/2014/chart" uri="{C3380CC4-5D6E-409C-BE32-E72D297353CC}">
              <c16:uniqueId val="{00000000-8C84-4DBE-A421-206D06236A94}"/>
            </c:ext>
          </c:extLst>
        </c:ser>
        <c:dLbls>
          <c:dLblPos val="outEnd"/>
          <c:showLegendKey val="0"/>
          <c:showVal val="1"/>
          <c:showCatName val="0"/>
          <c:showSerName val="0"/>
          <c:showPercent val="0"/>
          <c:showBubbleSize val="0"/>
        </c:dLbls>
        <c:gapWidth val="182"/>
        <c:axId val="37042079"/>
        <c:axId val="37036319"/>
      </c:barChart>
      <c:catAx>
        <c:axId val="370420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036319"/>
        <c:crosses val="autoZero"/>
        <c:auto val="1"/>
        <c:lblAlgn val="ctr"/>
        <c:lblOffset val="100"/>
        <c:noMultiLvlLbl val="0"/>
      </c:catAx>
      <c:valAx>
        <c:axId val="37036319"/>
        <c:scaling>
          <c:orientation val="minMax"/>
        </c:scaling>
        <c:delete val="1"/>
        <c:axPos val="b"/>
        <c:numFmt formatCode="0.00" sourceLinked="1"/>
        <c:majorTickMark val="none"/>
        <c:minorTickMark val="none"/>
        <c:tickLblPos val="nextTo"/>
        <c:crossAx val="3704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report!PivotTable11</c:name>
    <c:fmtId val="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1532738095238096"/>
              <c:y val="-0.3037383177570093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5625"/>
              <c:y val="0.2959501557632398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904592004124484"/>
          <c:y val="0.14879467461427137"/>
          <c:w val="0.74953599550056238"/>
          <c:h val="0.78456104201928034"/>
        </c:manualLayout>
      </c:layout>
      <c:doughnutChart>
        <c:varyColors val="1"/>
        <c:ser>
          <c:idx val="0"/>
          <c:order val="0"/>
          <c:tx>
            <c:strRef>
              <c:f>'Pivot report'!$Y$20</c:f>
              <c:strCache>
                <c:ptCount val="1"/>
                <c:pt idx="0">
                  <c:v>Total</c:v>
                </c:pt>
              </c:strCache>
            </c:strRef>
          </c:tx>
          <c:explosion val="2"/>
          <c:dPt>
            <c:idx val="0"/>
            <c:bubble3D val="0"/>
            <c:spPr>
              <a:solidFill>
                <a:schemeClr val="tx2">
                  <a:lumMod val="90000"/>
                  <a:lumOff val="1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D2-4A90-82BE-64F1F977D626}"/>
              </c:ext>
            </c:extLst>
          </c:dPt>
          <c:dPt>
            <c:idx val="1"/>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D2-4A90-82BE-64F1F977D626}"/>
              </c:ext>
            </c:extLst>
          </c:dPt>
          <c:dLbls>
            <c:dLbl>
              <c:idx val="0"/>
              <c:layout>
                <c:manualLayout>
                  <c:x val="0.11532738095238096"/>
                  <c:y val="-0.3037383177570093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3D2-4A90-82BE-64F1F977D626}"/>
                </c:ext>
              </c:extLst>
            </c:dLbl>
            <c:dLbl>
              <c:idx val="1"/>
              <c:layout>
                <c:manualLayout>
                  <c:x val="-0.15625"/>
                  <c:y val="0.2959501557632398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D2-4A90-82BE-64F1F977D62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report'!$X$21:$X$23</c:f>
              <c:strCache>
                <c:ptCount val="2"/>
                <c:pt idx="0">
                  <c:v>Delay</c:v>
                </c:pt>
                <c:pt idx="1">
                  <c:v>Ontime</c:v>
                </c:pt>
              </c:strCache>
            </c:strRef>
          </c:cat>
          <c:val>
            <c:numRef>
              <c:f>'Pivot report'!$Y$21:$Y$23</c:f>
              <c:numCache>
                <c:formatCode>0</c:formatCode>
                <c:ptCount val="2"/>
                <c:pt idx="0">
                  <c:v>5467</c:v>
                </c:pt>
                <c:pt idx="1">
                  <c:v>3749</c:v>
                </c:pt>
              </c:numCache>
            </c:numRef>
          </c:val>
          <c:extLst>
            <c:ext xmlns:c16="http://schemas.microsoft.com/office/drawing/2014/chart" uri="{C3380CC4-5D6E-409C-BE32-E72D297353CC}">
              <c16:uniqueId val="{00000004-83D2-4A90-82BE-64F1F977D62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report!PivotTable12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5209627098499335E-2"/>
              <c:y val="-0.23711191506467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766245728717874"/>
              <c:y val="4.004019767799284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5209627098499335E-2"/>
              <c:y val="-0.23711191506467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766245728717874"/>
              <c:y val="4.004019767799284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7.5209627098499335E-2"/>
              <c:y val="-0.23711191506467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tx2">
              <a:lumMod val="90000"/>
              <a:lumOff val="10000"/>
            </a:schemeClr>
          </a:solidFill>
          <a:ln w="19050">
            <a:solidFill>
              <a:schemeClr val="lt1"/>
            </a:solidFill>
          </a:ln>
          <a:effectLst/>
        </c:spPr>
        <c:dLbl>
          <c:idx val="0"/>
          <c:layout>
            <c:manualLayout>
              <c:x val="-0.11766245728717874"/>
              <c:y val="4.004019767799284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90808291820666"/>
          <c:y val="0.12850225771541587"/>
          <c:w val="0.68169344903315654"/>
          <c:h val="0.79153978679205383"/>
        </c:manualLayout>
      </c:layout>
      <c:doughnutChart>
        <c:varyColors val="1"/>
        <c:ser>
          <c:idx val="0"/>
          <c:order val="0"/>
          <c:tx>
            <c:strRef>
              <c:f>'Pivot report'!$Y$36</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1FB8-42ED-9AA6-ADCF07B9A118}"/>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1FB8-42ED-9AA6-ADCF07B9A118}"/>
              </c:ext>
            </c:extLst>
          </c:dPt>
          <c:dLbls>
            <c:dLbl>
              <c:idx val="0"/>
              <c:layout>
                <c:manualLayout>
                  <c:x val="7.5209627098499335E-2"/>
                  <c:y val="-0.23711191506467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B8-42ED-9AA6-ADCF07B9A118}"/>
                </c:ext>
              </c:extLst>
            </c:dLbl>
            <c:dLbl>
              <c:idx val="1"/>
              <c:layout>
                <c:manualLayout>
                  <c:x val="-0.11766245728717874"/>
                  <c:y val="4.00401976779928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B8-42ED-9AA6-ADCF07B9A11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report'!$X$37:$X$39</c:f>
              <c:strCache>
                <c:ptCount val="2"/>
                <c:pt idx="0">
                  <c:v>Female</c:v>
                </c:pt>
                <c:pt idx="1">
                  <c:v>Male</c:v>
                </c:pt>
              </c:strCache>
            </c:strRef>
          </c:cat>
          <c:val>
            <c:numRef>
              <c:f>'Pivot report'!$Y$37:$Y$39</c:f>
              <c:numCache>
                <c:formatCode>0</c:formatCode>
                <c:ptCount val="2"/>
                <c:pt idx="0">
                  <c:v>4487</c:v>
                </c:pt>
                <c:pt idx="1">
                  <c:v>4729</c:v>
                </c:pt>
              </c:numCache>
            </c:numRef>
          </c:val>
          <c:extLst>
            <c:ext xmlns:c16="http://schemas.microsoft.com/office/drawing/2014/chart" uri="{C3380CC4-5D6E-409C-BE32-E72D297353CC}">
              <c16:uniqueId val="{00000004-1FB8-42ED-9AA6-ADCF07B9A11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28209572017783491"/>
          <c:y val="8.2263561841499685E-3"/>
          <c:w val="0.45005526667657109"/>
          <c:h val="0.137651982691352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20000"/>
                  <a:lumOff val="80000"/>
                </a:schemeClr>
              </a:gs>
              <a:gs pos="83000">
                <a:schemeClr val="accent4">
                  <a:lumMod val="60000"/>
                  <a:lumOff val="40000"/>
                </a:schemeClr>
              </a:gs>
              <a:gs pos="100000">
                <a:schemeClr val="accent4">
                  <a:lumMod val="50000"/>
                </a:schemeClr>
              </a:gs>
            </a:gsLst>
            <a:lin ang="10800000" scaled="0"/>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0382370583362"/>
          <c:y val="1.0690748598510129E-2"/>
          <c:w val="0.76795953630796154"/>
          <c:h val="0.94879325901419487"/>
        </c:manualLayout>
      </c:layout>
      <c:barChart>
        <c:barDir val="bar"/>
        <c:grouping val="clustered"/>
        <c:varyColors val="0"/>
        <c:ser>
          <c:idx val="0"/>
          <c:order val="0"/>
          <c:tx>
            <c:strRef>
              <c:f>'Pivot report'!$AL$5</c:f>
              <c:strCache>
                <c:ptCount val="1"/>
                <c:pt idx="0">
                  <c:v>Total</c:v>
                </c:pt>
              </c:strCache>
            </c:strRef>
          </c:tx>
          <c:spPr>
            <a:gradFill>
              <a:gsLst>
                <a:gs pos="0">
                  <a:schemeClr val="accent4">
                    <a:lumMod val="20000"/>
                    <a:lumOff val="80000"/>
                  </a:schemeClr>
                </a:gs>
                <a:gs pos="83000">
                  <a:schemeClr val="accent4">
                    <a:lumMod val="60000"/>
                    <a:lumOff val="40000"/>
                  </a:schemeClr>
                </a:gs>
                <a:gs pos="100000">
                  <a:schemeClr val="accent4">
                    <a:lumMod val="50000"/>
                  </a:schemeClr>
                </a:gs>
              </a:gsLst>
              <a:lin ang="10800000" scaled="0"/>
            </a:gra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report'!$AK$6:$AK$14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report'!$AL$6:$AL$14</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FA24-4D0F-9174-609B9087362B}"/>
            </c:ext>
          </c:extLst>
        </c:ser>
        <c:dLbls>
          <c:dLblPos val="outEnd"/>
          <c:showLegendKey val="0"/>
          <c:showVal val="1"/>
          <c:showCatName val="0"/>
          <c:showSerName val="0"/>
          <c:showPercent val="0"/>
          <c:showBubbleSize val="0"/>
        </c:dLbls>
        <c:gapWidth val="57"/>
        <c:axId val="1317451119"/>
        <c:axId val="1317449199"/>
      </c:barChart>
      <c:catAx>
        <c:axId val="1317451119"/>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17449199"/>
        <c:crosses val="autoZero"/>
        <c:auto val="1"/>
        <c:lblAlgn val="ctr"/>
        <c:lblOffset val="100"/>
        <c:noMultiLvlLbl val="0"/>
      </c:catAx>
      <c:valAx>
        <c:axId val="1317449199"/>
        <c:scaling>
          <c:orientation val="minMax"/>
        </c:scaling>
        <c:delete val="1"/>
        <c:axPos val="b"/>
        <c:numFmt formatCode="0" sourceLinked="1"/>
        <c:majorTickMark val="none"/>
        <c:minorTickMark val="none"/>
        <c:tickLblPos val="nextTo"/>
        <c:crossAx val="1317451119"/>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20000"/>
                  <a:lumOff val="80000"/>
                </a:schemeClr>
              </a:gs>
              <a:gs pos="83000">
                <a:schemeClr val="accent4">
                  <a:lumMod val="60000"/>
                  <a:lumOff val="40000"/>
                </a:schemeClr>
              </a:gs>
              <a:gs pos="100000">
                <a:schemeClr val="accent4">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20405481805734E-2"/>
          <c:y val="6.1012812690665044E-3"/>
          <c:w val="0.88652905300194873"/>
          <c:h val="0.93288590604026844"/>
        </c:manualLayout>
      </c:layout>
      <c:barChart>
        <c:barDir val="bar"/>
        <c:grouping val="clustered"/>
        <c:varyColors val="0"/>
        <c:ser>
          <c:idx val="0"/>
          <c:order val="0"/>
          <c:tx>
            <c:strRef>
              <c:f>'Pivot report'!$Y$2</c:f>
              <c:strCache>
                <c:ptCount val="1"/>
                <c:pt idx="0">
                  <c:v>Total</c:v>
                </c:pt>
              </c:strCache>
            </c:strRef>
          </c:tx>
          <c:spPr>
            <a:gradFill>
              <a:gsLst>
                <a:gs pos="0">
                  <a:schemeClr val="accent4">
                    <a:lumMod val="20000"/>
                    <a:lumOff val="80000"/>
                  </a:schemeClr>
                </a:gs>
                <a:gs pos="83000">
                  <a:schemeClr val="accent4">
                    <a:lumMod val="60000"/>
                    <a:lumOff val="40000"/>
                  </a:schemeClr>
                </a:gs>
                <a:gs pos="100000">
                  <a:schemeClr val="accent4">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report'!$X$3:$X$11</c:f>
              <c:strCache>
                <c:ptCount val="8"/>
                <c:pt idx="0">
                  <c:v>0-09</c:v>
                </c:pt>
                <c:pt idx="1">
                  <c:v>10-19</c:v>
                </c:pt>
                <c:pt idx="2">
                  <c:v>20-29</c:v>
                </c:pt>
                <c:pt idx="3">
                  <c:v>30-39</c:v>
                </c:pt>
                <c:pt idx="4">
                  <c:v>40-49</c:v>
                </c:pt>
                <c:pt idx="5">
                  <c:v>50-59</c:v>
                </c:pt>
                <c:pt idx="6">
                  <c:v>60-69</c:v>
                </c:pt>
                <c:pt idx="7">
                  <c:v>70-79</c:v>
                </c:pt>
              </c:strCache>
            </c:strRef>
          </c:cat>
          <c:val>
            <c:numRef>
              <c:f>'Pivot report'!$Y$3:$Y$11</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5C06-496E-B881-4B29189822FA}"/>
            </c:ext>
          </c:extLst>
        </c:ser>
        <c:dLbls>
          <c:dLblPos val="outEnd"/>
          <c:showLegendKey val="0"/>
          <c:showVal val="1"/>
          <c:showCatName val="0"/>
          <c:showSerName val="0"/>
          <c:showPercent val="0"/>
          <c:showBubbleSize val="0"/>
        </c:dLbls>
        <c:gapWidth val="139"/>
        <c:axId val="37064159"/>
        <c:axId val="37081919"/>
      </c:barChart>
      <c:catAx>
        <c:axId val="3706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081919"/>
        <c:crosses val="autoZero"/>
        <c:auto val="1"/>
        <c:lblAlgn val="ctr"/>
        <c:lblOffset val="100"/>
        <c:noMultiLvlLbl val="0"/>
      </c:catAx>
      <c:valAx>
        <c:axId val="37081919"/>
        <c:scaling>
          <c:orientation val="minMax"/>
        </c:scaling>
        <c:delete val="1"/>
        <c:axPos val="b"/>
        <c:numFmt formatCode="0" sourceLinked="1"/>
        <c:majorTickMark val="none"/>
        <c:minorTickMark val="none"/>
        <c:tickLblPos val="nextTo"/>
        <c:crossAx val="3706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1152263374485597E-2"/>
          <c:w val="0.99834755724519209"/>
          <c:h val="0.95884734155746487"/>
        </c:manualLayout>
      </c:layout>
      <c:areaChart>
        <c:grouping val="stacked"/>
        <c:varyColors val="0"/>
        <c:ser>
          <c:idx val="0"/>
          <c:order val="0"/>
          <c:tx>
            <c:strRef>
              <c:f>'Pivot report'!$G$10</c:f>
              <c:strCache>
                <c:ptCount val="1"/>
                <c:pt idx="0">
                  <c:v>Total</c:v>
                </c:pt>
              </c:strCache>
            </c:strRef>
          </c:tx>
          <c:spPr>
            <a:solidFill>
              <a:schemeClr val="accent1"/>
            </a:solidFill>
            <a:ln>
              <a:noFill/>
            </a:ln>
            <a:effectLst/>
          </c:spPr>
          <c:cat>
            <c:strRef>
              <c:f>'Pivot report'!$F$11:$F$377</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report'!$G$11:$G$377</c:f>
              <c:numCache>
                <c:formatCode>0.00</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67B0-470B-857B-79EFFB1F847C}"/>
            </c:ext>
          </c:extLst>
        </c:ser>
        <c:dLbls>
          <c:showLegendKey val="0"/>
          <c:showVal val="0"/>
          <c:showCatName val="0"/>
          <c:showSerName val="0"/>
          <c:showPercent val="0"/>
          <c:showBubbleSize val="0"/>
        </c:dLbls>
        <c:axId val="1317424719"/>
        <c:axId val="1317425199"/>
      </c:areaChart>
      <c:catAx>
        <c:axId val="1317424719"/>
        <c:scaling>
          <c:orientation val="minMax"/>
        </c:scaling>
        <c:delete val="1"/>
        <c:axPos val="b"/>
        <c:numFmt formatCode="General" sourceLinked="1"/>
        <c:majorTickMark val="out"/>
        <c:minorTickMark val="none"/>
        <c:tickLblPos val="nextTo"/>
        <c:crossAx val="1317425199"/>
        <c:crosses val="autoZero"/>
        <c:auto val="1"/>
        <c:lblAlgn val="ctr"/>
        <c:lblOffset val="100"/>
        <c:noMultiLvlLbl val="0"/>
      </c:catAx>
      <c:valAx>
        <c:axId val="1317425199"/>
        <c:scaling>
          <c:orientation val="minMax"/>
        </c:scaling>
        <c:delete val="1"/>
        <c:axPos val="l"/>
        <c:numFmt formatCode="0.00" sourceLinked="1"/>
        <c:majorTickMark val="none"/>
        <c:minorTickMark val="none"/>
        <c:tickLblPos val="nextTo"/>
        <c:crossAx val="13174247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867924528301886E-2"/>
          <c:w val="1"/>
          <c:h val="0.98113211800682842"/>
        </c:manualLayout>
      </c:layout>
      <c:areaChart>
        <c:grouping val="standard"/>
        <c:varyColors val="0"/>
        <c:ser>
          <c:idx val="0"/>
          <c:order val="0"/>
          <c:tx>
            <c:strRef>
              <c:f>'Pivot report'!$N$10</c:f>
              <c:strCache>
                <c:ptCount val="1"/>
                <c:pt idx="0">
                  <c:v>Total</c:v>
                </c:pt>
              </c:strCache>
            </c:strRef>
          </c:tx>
          <c:spPr>
            <a:solidFill>
              <a:schemeClr val="accent1"/>
            </a:solidFill>
            <a:ln>
              <a:noFill/>
            </a:ln>
            <a:effectLst/>
          </c:spPr>
          <c:cat>
            <c:strRef>
              <c:f>'Pivot report'!$M$11:$M$377</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report'!$N$11:$N$377</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85A7-4AF0-A960-DD05F5C07942}"/>
            </c:ext>
          </c:extLst>
        </c:ser>
        <c:dLbls>
          <c:showLegendKey val="0"/>
          <c:showVal val="0"/>
          <c:showCatName val="0"/>
          <c:showSerName val="0"/>
          <c:showPercent val="0"/>
          <c:showBubbleSize val="0"/>
        </c:dLbls>
        <c:axId val="1317445359"/>
        <c:axId val="1317429999"/>
      </c:areaChart>
      <c:catAx>
        <c:axId val="1317445359"/>
        <c:scaling>
          <c:orientation val="minMax"/>
        </c:scaling>
        <c:delete val="1"/>
        <c:axPos val="b"/>
        <c:numFmt formatCode="General" sourceLinked="1"/>
        <c:majorTickMark val="out"/>
        <c:minorTickMark val="none"/>
        <c:tickLblPos val="nextTo"/>
        <c:crossAx val="1317429999"/>
        <c:crosses val="autoZero"/>
        <c:auto val="1"/>
        <c:lblAlgn val="ctr"/>
        <c:lblOffset val="100"/>
        <c:noMultiLvlLbl val="0"/>
      </c:catAx>
      <c:valAx>
        <c:axId val="1317429999"/>
        <c:scaling>
          <c:orientation val="minMax"/>
        </c:scaling>
        <c:delete val="1"/>
        <c:axPos val="l"/>
        <c:numFmt formatCode="0.00" sourceLinked="1"/>
        <c:majorTickMark val="none"/>
        <c:minorTickMark val="none"/>
        <c:tickLblPos val="nextTo"/>
        <c:crossAx val="1317445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49042195961401E-3"/>
          <c:y val="0"/>
          <c:w val="0.99727509578040385"/>
          <c:h val="0.9846667431317272"/>
        </c:manualLayout>
      </c:layout>
      <c:areaChart>
        <c:grouping val="standard"/>
        <c:varyColors val="0"/>
        <c:ser>
          <c:idx val="0"/>
          <c:order val="0"/>
          <c:tx>
            <c:strRef>
              <c:f>'Pivot report'!$T$10</c:f>
              <c:strCache>
                <c:ptCount val="1"/>
                <c:pt idx="0">
                  <c:v>Total</c:v>
                </c:pt>
              </c:strCache>
            </c:strRef>
          </c:tx>
          <c:spPr>
            <a:solidFill>
              <a:schemeClr val="accent1"/>
            </a:solidFill>
            <a:ln>
              <a:noFill/>
            </a:ln>
            <a:effectLst/>
          </c:spPr>
          <c:cat>
            <c:strRef>
              <c:f>'Pivot report'!$S$11:$S$374</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report'!$T$11:$T$374</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EF87-4B04-9D23-6923BBFCC829}"/>
            </c:ext>
          </c:extLst>
        </c:ser>
        <c:dLbls>
          <c:showLegendKey val="0"/>
          <c:showVal val="0"/>
          <c:showCatName val="0"/>
          <c:showSerName val="0"/>
          <c:showPercent val="0"/>
          <c:showBubbleSize val="0"/>
        </c:dLbls>
        <c:axId val="37033919"/>
        <c:axId val="37043519"/>
      </c:areaChart>
      <c:catAx>
        <c:axId val="37033919"/>
        <c:scaling>
          <c:orientation val="minMax"/>
        </c:scaling>
        <c:delete val="1"/>
        <c:axPos val="b"/>
        <c:numFmt formatCode="General" sourceLinked="1"/>
        <c:majorTickMark val="out"/>
        <c:minorTickMark val="none"/>
        <c:tickLblPos val="nextTo"/>
        <c:crossAx val="37043519"/>
        <c:crosses val="autoZero"/>
        <c:auto val="1"/>
        <c:lblAlgn val="ctr"/>
        <c:lblOffset val="100"/>
        <c:noMultiLvlLbl val="0"/>
      </c:catAx>
      <c:valAx>
        <c:axId val="37043519"/>
        <c:scaling>
          <c:orientation val="minMax"/>
        </c:scaling>
        <c:delete val="1"/>
        <c:axPos val="l"/>
        <c:numFmt formatCode="0.00" sourceLinked="1"/>
        <c:majorTickMark val="none"/>
        <c:minorTickMark val="none"/>
        <c:tickLblPos val="nextTo"/>
        <c:crossAx val="370339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Patient Per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21310102194673E-2"/>
          <c:y val="2.6158445440956652E-2"/>
          <c:w val="0.95093655181400194"/>
          <c:h val="0.85215299601002792"/>
        </c:manualLayout>
      </c:layout>
      <c:areaChart>
        <c:grouping val="stacked"/>
        <c:varyColors val="0"/>
        <c:ser>
          <c:idx val="0"/>
          <c:order val="0"/>
          <c:tx>
            <c:strRef>
              <c:f>'Pivot report'!$G$10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report'!$F$11:$F$377</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report'!$G$11:$G$377</c:f>
              <c:numCache>
                <c:formatCode>0.00</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6D16-43F4-8F27-0F65CCE0F52C}"/>
            </c:ext>
          </c:extLst>
        </c:ser>
        <c:dLbls>
          <c:showLegendKey val="0"/>
          <c:showVal val="1"/>
          <c:showCatName val="0"/>
          <c:showSerName val="0"/>
          <c:showPercent val="0"/>
          <c:showBubbleSize val="0"/>
        </c:dLbls>
        <c:axId val="1317424719"/>
        <c:axId val="1317425199"/>
      </c:areaChart>
      <c:catAx>
        <c:axId val="13174247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425199"/>
        <c:crosses val="autoZero"/>
        <c:auto val="1"/>
        <c:lblAlgn val="ctr"/>
        <c:lblOffset val="100"/>
        <c:noMultiLvlLbl val="0"/>
      </c:catAx>
      <c:valAx>
        <c:axId val="1317425199"/>
        <c:scaling>
          <c:orientation val="minMax"/>
        </c:scaling>
        <c:delete val="1"/>
        <c:axPos val="l"/>
        <c:numFmt formatCode="0.00" sourceLinked="1"/>
        <c:majorTickMark val="none"/>
        <c:minorTickMark val="none"/>
        <c:tickLblPos val="nextTo"/>
        <c:crossAx val="13174247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Wating Time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45126255769753E-2"/>
          <c:y val="4.1509433962264149E-2"/>
          <c:w val="0.95106669358637863"/>
          <c:h val="0.85069471949809095"/>
        </c:manualLayout>
      </c:layout>
      <c:areaChart>
        <c:grouping val="standard"/>
        <c:varyColors val="0"/>
        <c:ser>
          <c:idx val="0"/>
          <c:order val="0"/>
          <c:tx>
            <c:strRef>
              <c:f>'Pivot report'!$N$10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report'!$M$11:$M$377</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report'!$N$11:$N$377</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FABB-497B-9B5A-3D94A6AE9818}"/>
            </c:ext>
          </c:extLst>
        </c:ser>
        <c:dLbls>
          <c:showLegendKey val="0"/>
          <c:showVal val="1"/>
          <c:showCatName val="0"/>
          <c:showSerName val="0"/>
          <c:showPercent val="0"/>
          <c:showBubbleSize val="0"/>
        </c:dLbls>
        <c:axId val="1317445359"/>
        <c:axId val="1317429999"/>
      </c:areaChart>
      <c:catAx>
        <c:axId val="13174453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429999"/>
        <c:crosses val="autoZero"/>
        <c:auto val="1"/>
        <c:lblAlgn val="ctr"/>
        <c:lblOffset val="100"/>
        <c:noMultiLvlLbl val="0"/>
      </c:catAx>
      <c:valAx>
        <c:axId val="1317429999"/>
        <c:scaling>
          <c:orientation val="minMax"/>
        </c:scaling>
        <c:delete val="1"/>
        <c:axPos val="l"/>
        <c:numFmt formatCode="0.00" sourceLinked="1"/>
        <c:majorTickMark val="none"/>
        <c:minorTickMark val="none"/>
        <c:tickLblPos val="nextTo"/>
        <c:crossAx val="1317445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.xlsx]Pivot report!PivotTable6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Satisfaction</a:t>
            </a:r>
            <a:r>
              <a:rPr lang="en-IN" baseline="0"/>
              <a:t> Score By Patients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9396463964432E-2"/>
          <c:y val="3.55297157622739E-2"/>
          <c:w val="0.95132491683922094"/>
          <c:h val="0.8528299151559543"/>
        </c:manualLayout>
      </c:layout>
      <c:areaChart>
        <c:grouping val="standard"/>
        <c:varyColors val="0"/>
        <c:ser>
          <c:idx val="0"/>
          <c:order val="0"/>
          <c:tx>
            <c:strRef>
              <c:f>'Pivot report'!$T$10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report'!$S$11:$S$374</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report'!$T$11:$T$374</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C1B7-4723-BC7F-9F2D4E1F3847}"/>
            </c:ext>
          </c:extLst>
        </c:ser>
        <c:dLbls>
          <c:showLegendKey val="0"/>
          <c:showVal val="1"/>
          <c:showCatName val="0"/>
          <c:showSerName val="0"/>
          <c:showPercent val="0"/>
          <c:showBubbleSize val="0"/>
        </c:dLbls>
        <c:axId val="37033919"/>
        <c:axId val="37043519"/>
      </c:areaChart>
      <c:catAx>
        <c:axId val="370339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43519"/>
        <c:crosses val="autoZero"/>
        <c:auto val="1"/>
        <c:lblAlgn val="ctr"/>
        <c:lblOffset val="100"/>
        <c:noMultiLvlLbl val="0"/>
      </c:catAx>
      <c:valAx>
        <c:axId val="37043519"/>
        <c:scaling>
          <c:orientation val="minMax"/>
        </c:scaling>
        <c:delete val="1"/>
        <c:axPos val="l"/>
        <c:numFmt formatCode="0.00" sourceLinked="1"/>
        <c:majorTickMark val="none"/>
        <c:minorTickMark val="none"/>
        <c:tickLblPos val="nextTo"/>
        <c:crossAx val="370339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8.emf"/><Relationship Id="rId3" Type="http://schemas.openxmlformats.org/officeDocument/2006/relationships/image" Target="../media/image3.svg"/><Relationship Id="rId21" Type="http://schemas.openxmlformats.org/officeDocument/2006/relationships/image" Target="../media/image10.svg"/><Relationship Id="rId7" Type="http://schemas.openxmlformats.org/officeDocument/2006/relationships/image" Target="../media/image7.svg"/><Relationship Id="rId12" Type="http://schemas.openxmlformats.org/officeDocument/2006/relationships/hyperlink" Target="#'No. of patient'!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hyperlink" Target="#Score!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4.xml"/><Relationship Id="rId19" Type="http://schemas.openxmlformats.org/officeDocument/2006/relationships/hyperlink" Target="#'Pivot report'!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hyperlink" Target="#'Avg. waittime'!A1"/></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3.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40</xdr:col>
      <xdr:colOff>1351280</xdr:colOff>
      <xdr:row>13</xdr:row>
      <xdr:rowOff>200660</xdr:rowOff>
    </xdr:from>
    <xdr:to>
      <xdr:col>42</xdr:col>
      <xdr:colOff>43180</xdr:colOff>
      <xdr:row>26</xdr:row>
      <xdr:rowOff>20174</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6A163A82-3696-9AA9-72AE-9476D248E04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2880280" y="2776220"/>
              <a:ext cx="1823720" cy="2439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12334</xdr:colOff>
      <xdr:row>47</xdr:row>
      <xdr:rowOff>771</xdr:rowOff>
    </xdr:from>
    <xdr:to>
      <xdr:col>6</xdr:col>
      <xdr:colOff>11373</xdr:colOff>
      <xdr:row>48</xdr:row>
      <xdr:rowOff>614149</xdr:rowOff>
    </xdr:to>
    <xdr:graphicFrame macro="">
      <xdr:nvGraphicFramePr>
        <xdr:cNvPr id="7" name="Chart 6">
          <a:extLst>
            <a:ext uri="{FF2B5EF4-FFF2-40B4-BE49-F238E27FC236}">
              <a16:creationId xmlns:a16="http://schemas.microsoft.com/office/drawing/2014/main" id="{FA2846FC-3449-FA9C-F937-CD4149AB7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40</xdr:col>
      <xdr:colOff>1656080</xdr:colOff>
      <xdr:row>3</xdr:row>
      <xdr:rowOff>187961</xdr:rowOff>
    </xdr:from>
    <xdr:to>
      <xdr:col>41</xdr:col>
      <xdr:colOff>1130300</xdr:colOff>
      <xdr:row>7</xdr:row>
      <xdr:rowOff>76200</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E65FAF72-5BB9-DE76-1EBF-B8713763B4F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3185080" y="782321"/>
              <a:ext cx="1158240" cy="680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24581</xdr:colOff>
      <xdr:row>0</xdr:row>
      <xdr:rowOff>24581</xdr:rowOff>
    </xdr:from>
    <xdr:to>
      <xdr:col>24</xdr:col>
      <xdr:colOff>106680</xdr:colOff>
      <xdr:row>44</xdr:row>
      <xdr:rowOff>152401</xdr:rowOff>
    </xdr:to>
    <xdr:sp macro="" textlink="">
      <xdr:nvSpPr>
        <xdr:cNvPr id="2" name="Rectangle 1">
          <a:extLst>
            <a:ext uri="{FF2B5EF4-FFF2-40B4-BE49-F238E27FC236}">
              <a16:creationId xmlns:a16="http://schemas.microsoft.com/office/drawing/2014/main" id="{B9D3C768-8818-77E5-1C45-F18FBBD6BEB9}"/>
            </a:ext>
          </a:extLst>
        </xdr:cNvPr>
        <xdr:cNvSpPr/>
      </xdr:nvSpPr>
      <xdr:spPr>
        <a:xfrm>
          <a:off x="24581" y="24581"/>
          <a:ext cx="16175539" cy="88451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0</xdr:row>
      <xdr:rowOff>127000</xdr:rowOff>
    </xdr:from>
    <xdr:to>
      <xdr:col>11</xdr:col>
      <xdr:colOff>127000</xdr:colOff>
      <xdr:row>6</xdr:row>
      <xdr:rowOff>12700</xdr:rowOff>
    </xdr:to>
    <xdr:sp macro="" textlink="">
      <xdr:nvSpPr>
        <xdr:cNvPr id="3" name="Rectangle: Rounded Corners 2">
          <a:extLst>
            <a:ext uri="{FF2B5EF4-FFF2-40B4-BE49-F238E27FC236}">
              <a16:creationId xmlns:a16="http://schemas.microsoft.com/office/drawing/2014/main" id="{FDB8BBB0-DB9A-1223-D614-3B34B6D46A61}"/>
            </a:ext>
          </a:extLst>
        </xdr:cNvPr>
        <xdr:cNvSpPr/>
      </xdr:nvSpPr>
      <xdr:spPr>
        <a:xfrm>
          <a:off x="127000" y="127000"/>
          <a:ext cx="7404100" cy="1104900"/>
        </a:xfrm>
        <a:prstGeom prst="roundRect">
          <a:avLst>
            <a:gd name="adj" fmla="val 14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241300</xdr:colOff>
      <xdr:row>0</xdr:row>
      <xdr:rowOff>127000</xdr:rowOff>
    </xdr:from>
    <xdr:to>
      <xdr:col>13</xdr:col>
      <xdr:colOff>635000</xdr:colOff>
      <xdr:row>6</xdr:row>
      <xdr:rowOff>12700</xdr:rowOff>
    </xdr:to>
    <xdr:sp macro="" textlink="">
      <xdr:nvSpPr>
        <xdr:cNvPr id="4" name="Rectangle: Rounded Corners 3">
          <a:extLst>
            <a:ext uri="{FF2B5EF4-FFF2-40B4-BE49-F238E27FC236}">
              <a16:creationId xmlns:a16="http://schemas.microsoft.com/office/drawing/2014/main" id="{52279E30-B4BA-44BB-B9F7-FE368CB4AAD2}"/>
            </a:ext>
          </a:extLst>
        </xdr:cNvPr>
        <xdr:cNvSpPr/>
      </xdr:nvSpPr>
      <xdr:spPr>
        <a:xfrm>
          <a:off x="7645400" y="127000"/>
          <a:ext cx="1739900" cy="1104900"/>
        </a:xfrm>
        <a:prstGeom prst="roundRect">
          <a:avLst>
            <a:gd name="adj" fmla="val 14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14</xdr:row>
      <xdr:rowOff>114300</xdr:rowOff>
    </xdr:from>
    <xdr:to>
      <xdr:col>2</xdr:col>
      <xdr:colOff>330200</xdr:colOff>
      <xdr:row>43</xdr:row>
      <xdr:rowOff>152400</xdr:rowOff>
    </xdr:to>
    <xdr:sp macro="" textlink="">
      <xdr:nvSpPr>
        <xdr:cNvPr id="5" name="Rectangle: Rounded Corners 4">
          <a:extLst>
            <a:ext uri="{FF2B5EF4-FFF2-40B4-BE49-F238E27FC236}">
              <a16:creationId xmlns:a16="http://schemas.microsoft.com/office/drawing/2014/main" id="{8426342B-3BE4-4DB6-8364-3BC8083AB582}"/>
            </a:ext>
          </a:extLst>
        </xdr:cNvPr>
        <xdr:cNvSpPr/>
      </xdr:nvSpPr>
      <xdr:spPr>
        <a:xfrm>
          <a:off x="88900" y="2959100"/>
          <a:ext cx="1587500" cy="5930900"/>
        </a:xfrm>
        <a:prstGeom prst="roundRect">
          <a:avLst>
            <a:gd name="adj" fmla="val 14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6</xdr:row>
      <xdr:rowOff>139700</xdr:rowOff>
    </xdr:from>
    <xdr:to>
      <xdr:col>2</xdr:col>
      <xdr:colOff>368300</xdr:colOff>
      <xdr:row>14</xdr:row>
      <xdr:rowOff>0</xdr:rowOff>
    </xdr:to>
    <xdr:sp macro="" textlink="">
      <xdr:nvSpPr>
        <xdr:cNvPr id="6" name="Rectangle: Rounded Corners 5">
          <a:extLst>
            <a:ext uri="{FF2B5EF4-FFF2-40B4-BE49-F238E27FC236}">
              <a16:creationId xmlns:a16="http://schemas.microsoft.com/office/drawing/2014/main" id="{C27795B1-E3BD-440A-8FA6-8E9C175D866A}"/>
            </a:ext>
          </a:extLst>
        </xdr:cNvPr>
        <xdr:cNvSpPr/>
      </xdr:nvSpPr>
      <xdr:spPr>
        <a:xfrm>
          <a:off x="114300" y="1358900"/>
          <a:ext cx="1600200" cy="1485900"/>
        </a:xfrm>
        <a:prstGeom prst="roundRect">
          <a:avLst>
            <a:gd name="adj" fmla="val 14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457200</xdr:colOff>
      <xdr:row>6</xdr:row>
      <xdr:rowOff>190500</xdr:rowOff>
    </xdr:from>
    <xdr:to>
      <xdr:col>6</xdr:col>
      <xdr:colOff>215900</xdr:colOff>
      <xdr:row>15</xdr:row>
      <xdr:rowOff>167640</xdr:rowOff>
    </xdr:to>
    <xdr:sp macro="" textlink="">
      <xdr:nvSpPr>
        <xdr:cNvPr id="7" name="Rectangle: Rounded Corners 6">
          <a:extLst>
            <a:ext uri="{FF2B5EF4-FFF2-40B4-BE49-F238E27FC236}">
              <a16:creationId xmlns:a16="http://schemas.microsoft.com/office/drawing/2014/main" id="{C21E68F9-7C29-461F-9A7B-C4C66C4B68A9}"/>
            </a:ext>
          </a:extLst>
        </xdr:cNvPr>
        <xdr:cNvSpPr/>
      </xdr:nvSpPr>
      <xdr:spPr>
        <a:xfrm>
          <a:off x="1802524" y="1388679"/>
          <a:ext cx="2449348" cy="1774409"/>
        </a:xfrm>
        <a:prstGeom prst="roundRect">
          <a:avLst>
            <a:gd name="adj" fmla="val 23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342900</xdr:colOff>
      <xdr:row>7</xdr:row>
      <xdr:rowOff>0</xdr:rowOff>
    </xdr:from>
    <xdr:to>
      <xdr:col>10</xdr:col>
      <xdr:colOff>101600</xdr:colOff>
      <xdr:row>15</xdr:row>
      <xdr:rowOff>167640</xdr:rowOff>
    </xdr:to>
    <xdr:sp macro="" textlink="">
      <xdr:nvSpPr>
        <xdr:cNvPr id="8" name="Rectangle: Rounded Corners 7">
          <a:extLst>
            <a:ext uri="{FF2B5EF4-FFF2-40B4-BE49-F238E27FC236}">
              <a16:creationId xmlns:a16="http://schemas.microsoft.com/office/drawing/2014/main" id="{7915B5F4-D7C4-4BE1-B1E5-BAB93A704E30}"/>
            </a:ext>
          </a:extLst>
        </xdr:cNvPr>
        <xdr:cNvSpPr/>
      </xdr:nvSpPr>
      <xdr:spPr>
        <a:xfrm>
          <a:off x="4378872" y="1397876"/>
          <a:ext cx="2449349" cy="1765212"/>
        </a:xfrm>
        <a:prstGeom prst="roundRect">
          <a:avLst>
            <a:gd name="adj" fmla="val 26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177800</xdr:colOff>
      <xdr:row>7</xdr:row>
      <xdr:rowOff>12700</xdr:rowOff>
    </xdr:from>
    <xdr:to>
      <xdr:col>13</xdr:col>
      <xdr:colOff>609600</xdr:colOff>
      <xdr:row>15</xdr:row>
      <xdr:rowOff>167640</xdr:rowOff>
    </xdr:to>
    <xdr:sp macro="" textlink="">
      <xdr:nvSpPr>
        <xdr:cNvPr id="9" name="Rectangle: Rounded Corners 8">
          <a:extLst>
            <a:ext uri="{FF2B5EF4-FFF2-40B4-BE49-F238E27FC236}">
              <a16:creationId xmlns:a16="http://schemas.microsoft.com/office/drawing/2014/main" id="{3CD25376-D827-2D7B-4690-099561EEBD4E}"/>
            </a:ext>
          </a:extLst>
        </xdr:cNvPr>
        <xdr:cNvSpPr/>
      </xdr:nvSpPr>
      <xdr:spPr>
        <a:xfrm>
          <a:off x="6859954" y="1407746"/>
          <a:ext cx="2436446" cy="1749279"/>
        </a:xfrm>
        <a:prstGeom prst="roundRect">
          <a:avLst>
            <a:gd name="adj" fmla="val 25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0</xdr:row>
      <xdr:rowOff>165100</xdr:rowOff>
    </xdr:from>
    <xdr:to>
      <xdr:col>23</xdr:col>
      <xdr:colOff>487680</xdr:colOff>
      <xdr:row>22</xdr:row>
      <xdr:rowOff>15240</xdr:rowOff>
    </xdr:to>
    <xdr:sp macro="" textlink="">
      <xdr:nvSpPr>
        <xdr:cNvPr id="10" name="Rectangle: Rounded Corners 9">
          <a:extLst>
            <a:ext uri="{FF2B5EF4-FFF2-40B4-BE49-F238E27FC236}">
              <a16:creationId xmlns:a16="http://schemas.microsoft.com/office/drawing/2014/main" id="{982F862A-55C2-40CC-8F24-F0B9C1FC70C7}"/>
            </a:ext>
          </a:extLst>
        </xdr:cNvPr>
        <xdr:cNvSpPr/>
      </xdr:nvSpPr>
      <xdr:spPr>
        <a:xfrm>
          <a:off x="9502140" y="165100"/>
          <a:ext cx="6408420" cy="4208780"/>
        </a:xfrm>
        <a:prstGeom prst="roundRect">
          <a:avLst>
            <a:gd name="adj" fmla="val 35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22</xdr:row>
      <xdr:rowOff>104140</xdr:rowOff>
    </xdr:from>
    <xdr:to>
      <xdr:col>23</xdr:col>
      <xdr:colOff>457200</xdr:colOff>
      <xdr:row>43</xdr:row>
      <xdr:rowOff>76200</xdr:rowOff>
    </xdr:to>
    <xdr:sp macro="" textlink="">
      <xdr:nvSpPr>
        <xdr:cNvPr id="11" name="Rectangle: Rounded Corners 10">
          <a:extLst>
            <a:ext uri="{FF2B5EF4-FFF2-40B4-BE49-F238E27FC236}">
              <a16:creationId xmlns:a16="http://schemas.microsoft.com/office/drawing/2014/main" id="{27A52128-0172-4E4E-964D-C65A5EBA5D54}"/>
            </a:ext>
          </a:extLst>
        </xdr:cNvPr>
        <xdr:cNvSpPr/>
      </xdr:nvSpPr>
      <xdr:spPr>
        <a:xfrm>
          <a:off x="9486900" y="4462780"/>
          <a:ext cx="6393180" cy="4132580"/>
        </a:xfrm>
        <a:prstGeom prst="roundRect">
          <a:avLst>
            <a:gd name="adj" fmla="val 35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16</xdr:row>
      <xdr:rowOff>119380</xdr:rowOff>
    </xdr:from>
    <xdr:to>
      <xdr:col>7</xdr:col>
      <xdr:colOff>624840</xdr:colOff>
      <xdr:row>33</xdr:row>
      <xdr:rowOff>106680</xdr:rowOff>
    </xdr:to>
    <xdr:sp macro="" textlink="">
      <xdr:nvSpPr>
        <xdr:cNvPr id="12" name="Rectangle: Rounded Corners 11">
          <a:extLst>
            <a:ext uri="{FF2B5EF4-FFF2-40B4-BE49-F238E27FC236}">
              <a16:creationId xmlns:a16="http://schemas.microsoft.com/office/drawing/2014/main" id="{1A64014B-09C6-488A-BCB9-20FA982D1D8F}"/>
            </a:ext>
          </a:extLst>
        </xdr:cNvPr>
        <xdr:cNvSpPr/>
      </xdr:nvSpPr>
      <xdr:spPr>
        <a:xfrm>
          <a:off x="1760220" y="3289300"/>
          <a:ext cx="3558540" cy="3355340"/>
        </a:xfrm>
        <a:prstGeom prst="roundRect">
          <a:avLst>
            <a:gd name="adj" fmla="val 35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45720</xdr:colOff>
      <xdr:row>16</xdr:row>
      <xdr:rowOff>134620</xdr:rowOff>
    </xdr:from>
    <xdr:to>
      <xdr:col>13</xdr:col>
      <xdr:colOff>624840</xdr:colOff>
      <xdr:row>33</xdr:row>
      <xdr:rowOff>91440</xdr:rowOff>
    </xdr:to>
    <xdr:sp macro="" textlink="">
      <xdr:nvSpPr>
        <xdr:cNvPr id="13" name="Rectangle: Rounded Corners 12">
          <a:extLst>
            <a:ext uri="{FF2B5EF4-FFF2-40B4-BE49-F238E27FC236}">
              <a16:creationId xmlns:a16="http://schemas.microsoft.com/office/drawing/2014/main" id="{814409B3-AA0D-4196-9798-1826991F84C6}"/>
            </a:ext>
          </a:extLst>
        </xdr:cNvPr>
        <xdr:cNvSpPr/>
      </xdr:nvSpPr>
      <xdr:spPr>
        <a:xfrm>
          <a:off x="5410200" y="3304540"/>
          <a:ext cx="3931920" cy="3324860"/>
        </a:xfrm>
        <a:prstGeom prst="roundRect">
          <a:avLst>
            <a:gd name="adj" fmla="val 35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420820</xdr:colOff>
      <xdr:row>34</xdr:row>
      <xdr:rowOff>60960</xdr:rowOff>
    </xdr:from>
    <xdr:to>
      <xdr:col>13</xdr:col>
      <xdr:colOff>609599</xdr:colOff>
      <xdr:row>43</xdr:row>
      <xdr:rowOff>60960</xdr:rowOff>
    </xdr:to>
    <xdr:sp macro="" textlink="">
      <xdr:nvSpPr>
        <xdr:cNvPr id="14" name="Rectangle: Rounded Corners 13">
          <a:extLst>
            <a:ext uri="{FF2B5EF4-FFF2-40B4-BE49-F238E27FC236}">
              <a16:creationId xmlns:a16="http://schemas.microsoft.com/office/drawing/2014/main" id="{0F20806C-2401-4D06-B1C1-2F7371232776}"/>
            </a:ext>
          </a:extLst>
        </xdr:cNvPr>
        <xdr:cNvSpPr/>
      </xdr:nvSpPr>
      <xdr:spPr>
        <a:xfrm>
          <a:off x="1761940" y="6797040"/>
          <a:ext cx="7564939" cy="1783080"/>
        </a:xfrm>
        <a:prstGeom prst="roundRect">
          <a:avLst>
            <a:gd name="adj" fmla="val 35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457200</xdr:colOff>
      <xdr:row>0</xdr:row>
      <xdr:rowOff>137160</xdr:rowOff>
    </xdr:from>
    <xdr:to>
      <xdr:col>11</xdr:col>
      <xdr:colOff>30480</xdr:colOff>
      <xdr:row>3</xdr:row>
      <xdr:rowOff>15240</xdr:rowOff>
    </xdr:to>
    <xdr:sp macro="" textlink="">
      <xdr:nvSpPr>
        <xdr:cNvPr id="15" name="TextBox 14">
          <a:extLst>
            <a:ext uri="{FF2B5EF4-FFF2-40B4-BE49-F238E27FC236}">
              <a16:creationId xmlns:a16="http://schemas.microsoft.com/office/drawing/2014/main" id="{BBED180B-9B13-97AB-FE71-7A2F9140D76F}"/>
            </a:ext>
          </a:extLst>
        </xdr:cNvPr>
        <xdr:cNvSpPr txBox="1"/>
      </xdr:nvSpPr>
      <xdr:spPr>
        <a:xfrm>
          <a:off x="1127760" y="137160"/>
          <a:ext cx="62788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400" b="1">
              <a:latin typeface="STZhongsong" panose="02010600040101010101" pitchFamily="2" charset="-122"/>
              <a:ea typeface="STZhongsong" panose="02010600040101010101" pitchFamily="2" charset="-122"/>
            </a:rPr>
            <a:t>Hospital</a:t>
          </a:r>
          <a:r>
            <a:rPr lang="en-IN" sz="2400" b="1" baseline="0">
              <a:latin typeface="STZhongsong" panose="02010600040101010101" pitchFamily="2" charset="-122"/>
              <a:ea typeface="STZhongsong" panose="02010600040101010101" pitchFamily="2" charset="-122"/>
            </a:rPr>
            <a:t> Emergency Room Dashboard</a:t>
          </a:r>
          <a:endParaRPr lang="en-IN" sz="2400" b="1">
            <a:latin typeface="STZhongsong" panose="02010600040101010101" pitchFamily="2" charset="-122"/>
            <a:ea typeface="STZhongsong" panose="02010600040101010101" pitchFamily="2" charset="-122"/>
          </a:endParaRPr>
        </a:p>
      </xdr:txBody>
    </xdr:sp>
    <xdr:clientData/>
  </xdr:twoCellAnchor>
  <xdr:twoCellAnchor>
    <xdr:from>
      <xdr:col>4</xdr:col>
      <xdr:colOff>381000</xdr:colOff>
      <xdr:row>3</xdr:row>
      <xdr:rowOff>91440</xdr:rowOff>
    </xdr:from>
    <xdr:to>
      <xdr:col>8</xdr:col>
      <xdr:colOff>91440</xdr:colOff>
      <xdr:row>5</xdr:row>
      <xdr:rowOff>121920</xdr:rowOff>
    </xdr:to>
    <xdr:sp macro="" textlink="">
      <xdr:nvSpPr>
        <xdr:cNvPr id="16" name="TextBox 15">
          <a:extLst>
            <a:ext uri="{FF2B5EF4-FFF2-40B4-BE49-F238E27FC236}">
              <a16:creationId xmlns:a16="http://schemas.microsoft.com/office/drawing/2014/main" id="{90D51FA4-C6F3-4EAB-A1D7-E0F3E16F266A}"/>
            </a:ext>
          </a:extLst>
        </xdr:cNvPr>
        <xdr:cNvSpPr txBox="1"/>
      </xdr:nvSpPr>
      <xdr:spPr>
        <a:xfrm>
          <a:off x="3063240" y="685800"/>
          <a:ext cx="2392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atin typeface="STZhongsong" panose="02010600040101010101" pitchFamily="2" charset="-122"/>
              <a:ea typeface="STZhongsong" panose="02010600040101010101" pitchFamily="2" charset="-122"/>
            </a:rPr>
            <a:t>Monthly</a:t>
          </a:r>
          <a:r>
            <a:rPr lang="en-IN" sz="2000" b="1" baseline="0">
              <a:latin typeface="STZhongsong" panose="02010600040101010101" pitchFamily="2" charset="-122"/>
              <a:ea typeface="STZhongsong" panose="02010600040101010101" pitchFamily="2" charset="-122"/>
            </a:rPr>
            <a:t> Report</a:t>
          </a:r>
          <a:endParaRPr lang="en-IN" sz="2000" b="1">
            <a:latin typeface="STZhongsong" panose="02010600040101010101" pitchFamily="2" charset="-122"/>
            <a:ea typeface="STZhongsong" panose="02010600040101010101" pitchFamily="2" charset="-122"/>
          </a:endParaRPr>
        </a:p>
      </xdr:txBody>
    </xdr:sp>
    <xdr:clientData/>
  </xdr:twoCellAnchor>
  <xdr:twoCellAnchor editAs="oneCell">
    <xdr:from>
      <xdr:col>0</xdr:col>
      <xdr:colOff>243840</xdr:colOff>
      <xdr:row>0</xdr:row>
      <xdr:rowOff>152400</xdr:rowOff>
    </xdr:from>
    <xdr:to>
      <xdr:col>1</xdr:col>
      <xdr:colOff>579120</xdr:colOff>
      <xdr:row>5</xdr:row>
      <xdr:rowOff>167640</xdr:rowOff>
    </xdr:to>
    <xdr:pic>
      <xdr:nvPicPr>
        <xdr:cNvPr id="18" name="Picture 17">
          <a:extLst>
            <a:ext uri="{FF2B5EF4-FFF2-40B4-BE49-F238E27FC236}">
              <a16:creationId xmlns:a16="http://schemas.microsoft.com/office/drawing/2014/main" id="{3CDF707B-E63C-8691-7A11-9526D20324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52400"/>
          <a:ext cx="1005840" cy="1005840"/>
        </a:xfrm>
        <a:prstGeom prst="rect">
          <a:avLst/>
        </a:prstGeom>
      </xdr:spPr>
    </xdr:pic>
    <xdr:clientData/>
  </xdr:twoCellAnchor>
  <xdr:twoCellAnchor editAs="oneCell">
    <xdr:from>
      <xdr:col>0</xdr:col>
      <xdr:colOff>160020</xdr:colOff>
      <xdr:row>7</xdr:row>
      <xdr:rowOff>48260</xdr:rowOff>
    </xdr:from>
    <xdr:to>
      <xdr:col>2</xdr:col>
      <xdr:colOff>286350</xdr:colOff>
      <xdr:row>13</xdr:row>
      <xdr:rowOff>106680</xdr:rowOff>
    </xdr:to>
    <mc:AlternateContent xmlns:mc="http://schemas.openxmlformats.org/markup-compatibility/2006" xmlns:a14="http://schemas.microsoft.com/office/drawing/2010/main">
      <mc:Choice Requires="a14">
        <xdr:graphicFrame macro="">
          <xdr:nvGraphicFramePr>
            <xdr:cNvPr id="19" name="Date (Year) 1">
              <a:extLst>
                <a:ext uri="{FF2B5EF4-FFF2-40B4-BE49-F238E27FC236}">
                  <a16:creationId xmlns:a16="http://schemas.microsoft.com/office/drawing/2014/main" id="{400EC21E-FCA6-4984-A3C9-44B0C7EC53E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60020" y="1406005"/>
              <a:ext cx="1456366" cy="1222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14</xdr:row>
      <xdr:rowOff>182880</xdr:rowOff>
    </xdr:from>
    <xdr:to>
      <xdr:col>2</xdr:col>
      <xdr:colOff>280830</xdr:colOff>
      <xdr:row>43</xdr:row>
      <xdr:rowOff>65660</xdr:rowOff>
    </xdr:to>
    <mc:AlternateContent xmlns:mc="http://schemas.openxmlformats.org/markup-compatibility/2006" xmlns:a14="http://schemas.microsoft.com/office/drawing/2010/main">
      <mc:Choice Requires="a14">
        <xdr:graphicFrame macro="">
          <xdr:nvGraphicFramePr>
            <xdr:cNvPr id="20" name="Date (Month) 1">
              <a:extLst>
                <a:ext uri="{FF2B5EF4-FFF2-40B4-BE49-F238E27FC236}">
                  <a16:creationId xmlns:a16="http://schemas.microsoft.com/office/drawing/2014/main" id="{6C4772D5-8A9D-44FB-9E6C-F15C1C6C3D8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52400" y="2898371"/>
              <a:ext cx="1458466" cy="550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411480</xdr:colOff>
      <xdr:row>7</xdr:row>
      <xdr:rowOff>76200</xdr:rowOff>
    </xdr:from>
    <xdr:to>
      <xdr:col>6</xdr:col>
      <xdr:colOff>121920</xdr:colOff>
      <xdr:row>9</xdr:row>
      <xdr:rowOff>106680</xdr:rowOff>
    </xdr:to>
    <xdr:sp macro="" textlink="'Pivot report'!$A$2">
      <xdr:nvSpPr>
        <xdr:cNvPr id="22" name="TextBox 21">
          <a:extLst>
            <a:ext uri="{FF2B5EF4-FFF2-40B4-BE49-F238E27FC236}">
              <a16:creationId xmlns:a16="http://schemas.microsoft.com/office/drawing/2014/main" id="{E0CF31D5-18E5-46AD-A7BD-C9FB9D681A32}"/>
            </a:ext>
          </a:extLst>
        </xdr:cNvPr>
        <xdr:cNvSpPr txBox="1"/>
      </xdr:nvSpPr>
      <xdr:spPr>
        <a:xfrm>
          <a:off x="1752600" y="1463040"/>
          <a:ext cx="2392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C2363FF-8DD1-499E-871E-57358F183D0B}" type="TxLink">
            <a:rPr lang="en-US" sz="1800" b="1" i="0" u="none" strike="noStrike">
              <a:solidFill>
                <a:srgbClr val="000000"/>
              </a:solidFill>
              <a:latin typeface="Times New Roman"/>
              <a:ea typeface="STZhongsong" panose="02010600040101010101" pitchFamily="2" charset="-122"/>
              <a:cs typeface="Times New Roman"/>
            </a:rPr>
            <a:pPr algn="ctr"/>
            <a:t>9216</a:t>
          </a:fld>
          <a:endParaRPr lang="en-IN" sz="3200" b="1">
            <a:latin typeface="STZhongsong" panose="02010600040101010101" pitchFamily="2" charset="-122"/>
            <a:ea typeface="STZhongsong" panose="02010600040101010101" pitchFamily="2" charset="-122"/>
          </a:endParaRPr>
        </a:p>
      </xdr:txBody>
    </xdr:sp>
    <xdr:clientData/>
  </xdr:twoCellAnchor>
  <xdr:twoCellAnchor>
    <xdr:from>
      <xdr:col>3</xdr:col>
      <xdr:colOff>91440</xdr:colOff>
      <xdr:row>8</xdr:row>
      <xdr:rowOff>182880</xdr:rowOff>
    </xdr:from>
    <xdr:to>
      <xdr:col>5</xdr:col>
      <xdr:colOff>289560</xdr:colOff>
      <xdr:row>11</xdr:row>
      <xdr:rowOff>45720</xdr:rowOff>
    </xdr:to>
    <xdr:sp macro="" textlink="">
      <xdr:nvSpPr>
        <xdr:cNvPr id="23" name="TextBox 22">
          <a:extLst>
            <a:ext uri="{FF2B5EF4-FFF2-40B4-BE49-F238E27FC236}">
              <a16:creationId xmlns:a16="http://schemas.microsoft.com/office/drawing/2014/main" id="{4B693BFE-06EC-4718-B2A1-630946E1D200}"/>
            </a:ext>
          </a:extLst>
        </xdr:cNvPr>
        <xdr:cNvSpPr txBox="1"/>
      </xdr:nvSpPr>
      <xdr:spPr>
        <a:xfrm>
          <a:off x="2103120" y="1767840"/>
          <a:ext cx="1539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No.</a:t>
          </a:r>
          <a:r>
            <a:rPr lang="en-IN" sz="1600" b="1" baseline="0">
              <a:latin typeface="STZhongsong" panose="02010600040101010101" pitchFamily="2" charset="-122"/>
              <a:ea typeface="STZhongsong" panose="02010600040101010101" pitchFamily="2" charset="-122"/>
            </a:rPr>
            <a:t> of Patient</a:t>
          </a:r>
          <a:endParaRPr lang="en-IN" sz="1600" b="1">
            <a:latin typeface="STZhongsong" panose="02010600040101010101" pitchFamily="2" charset="-122"/>
            <a:ea typeface="STZhongsong" panose="02010600040101010101" pitchFamily="2" charset="-122"/>
          </a:endParaRPr>
        </a:p>
      </xdr:txBody>
    </xdr:sp>
    <xdr:clientData/>
  </xdr:twoCellAnchor>
  <xdr:twoCellAnchor>
    <xdr:from>
      <xdr:col>7</xdr:col>
      <xdr:colOff>350520</xdr:colOff>
      <xdr:row>7</xdr:row>
      <xdr:rowOff>137160</xdr:rowOff>
    </xdr:from>
    <xdr:to>
      <xdr:col>9</xdr:col>
      <xdr:colOff>0</xdr:colOff>
      <xdr:row>9</xdr:row>
      <xdr:rowOff>167640</xdr:rowOff>
    </xdr:to>
    <xdr:sp macro="" textlink="'Pivot report'!A11">
      <xdr:nvSpPr>
        <xdr:cNvPr id="24" name="TextBox 23">
          <a:extLst>
            <a:ext uri="{FF2B5EF4-FFF2-40B4-BE49-F238E27FC236}">
              <a16:creationId xmlns:a16="http://schemas.microsoft.com/office/drawing/2014/main" id="{17BD346A-F5D6-4027-A685-81D1521EFC19}"/>
            </a:ext>
          </a:extLst>
        </xdr:cNvPr>
        <xdr:cNvSpPr txBox="1"/>
      </xdr:nvSpPr>
      <xdr:spPr>
        <a:xfrm>
          <a:off x="5044440" y="1524000"/>
          <a:ext cx="9906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CE4C0F5-EE49-479C-AC87-F0D9D8FC5747}" type="TxLink">
            <a:rPr lang="en-US" sz="1800" b="1" i="0" u="none" strike="noStrike">
              <a:solidFill>
                <a:srgbClr val="000000"/>
              </a:solidFill>
              <a:latin typeface="Times New Roman"/>
              <a:ea typeface="STZhongsong" panose="02010600040101010101" pitchFamily="2" charset="-122"/>
              <a:cs typeface="Times New Roman"/>
            </a:rPr>
            <a:pPr algn="ctr"/>
            <a:t>35.26</a:t>
          </a:fld>
          <a:endParaRPr lang="en-IN" sz="4400" b="1">
            <a:latin typeface="STZhongsong" panose="02010600040101010101" pitchFamily="2" charset="-122"/>
            <a:ea typeface="STZhongsong" panose="02010600040101010101" pitchFamily="2" charset="-122"/>
          </a:endParaRPr>
        </a:p>
      </xdr:txBody>
    </xdr:sp>
    <xdr:clientData/>
  </xdr:twoCellAnchor>
  <xdr:twoCellAnchor>
    <xdr:from>
      <xdr:col>10</xdr:col>
      <xdr:colOff>624840</xdr:colOff>
      <xdr:row>7</xdr:row>
      <xdr:rowOff>167640</xdr:rowOff>
    </xdr:from>
    <xdr:to>
      <xdr:col>12</xdr:col>
      <xdr:colOff>198120</xdr:colOff>
      <xdr:row>9</xdr:row>
      <xdr:rowOff>152400</xdr:rowOff>
    </xdr:to>
    <xdr:sp macro="" textlink="'Pivot report'!A17">
      <xdr:nvSpPr>
        <xdr:cNvPr id="25" name="TextBox 24">
          <a:extLst>
            <a:ext uri="{FF2B5EF4-FFF2-40B4-BE49-F238E27FC236}">
              <a16:creationId xmlns:a16="http://schemas.microsoft.com/office/drawing/2014/main" id="{E22433DE-BB11-4DC1-A905-45D5C0920C55}"/>
            </a:ext>
          </a:extLst>
        </xdr:cNvPr>
        <xdr:cNvSpPr txBox="1"/>
      </xdr:nvSpPr>
      <xdr:spPr>
        <a:xfrm>
          <a:off x="7330440" y="1554480"/>
          <a:ext cx="914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1E9CE09-668E-4B12-BA50-357A4069A5E2}" type="TxLink">
            <a:rPr lang="en-US" sz="1800" b="1" i="0" u="none" strike="noStrike">
              <a:solidFill>
                <a:srgbClr val="000000"/>
              </a:solidFill>
              <a:latin typeface="Times New Roman"/>
              <a:ea typeface="STZhongsong" panose="02010600040101010101" pitchFamily="2" charset="-122"/>
              <a:cs typeface="Times New Roman"/>
            </a:rPr>
            <a:pPr algn="ctr"/>
            <a:t>4.99</a:t>
          </a:fld>
          <a:endParaRPr lang="en-IN" sz="4400" b="1">
            <a:latin typeface="STZhongsong" panose="02010600040101010101" pitchFamily="2" charset="-122"/>
            <a:ea typeface="STZhongsong" panose="02010600040101010101" pitchFamily="2" charset="-122"/>
          </a:endParaRPr>
        </a:p>
      </xdr:txBody>
    </xdr:sp>
    <xdr:clientData/>
  </xdr:twoCellAnchor>
  <xdr:twoCellAnchor>
    <xdr:from>
      <xdr:col>7</xdr:col>
      <xdr:colOff>15240</xdr:colOff>
      <xdr:row>9</xdr:row>
      <xdr:rowOff>60960</xdr:rowOff>
    </xdr:from>
    <xdr:to>
      <xdr:col>9</xdr:col>
      <xdr:colOff>213360</xdr:colOff>
      <xdr:row>11</xdr:row>
      <xdr:rowOff>121920</xdr:rowOff>
    </xdr:to>
    <xdr:sp macro="" textlink="">
      <xdr:nvSpPr>
        <xdr:cNvPr id="26" name="TextBox 25">
          <a:extLst>
            <a:ext uri="{FF2B5EF4-FFF2-40B4-BE49-F238E27FC236}">
              <a16:creationId xmlns:a16="http://schemas.microsoft.com/office/drawing/2014/main" id="{5C1B7A1D-9405-4DB9-B9EF-CA4370C80637}"/>
            </a:ext>
          </a:extLst>
        </xdr:cNvPr>
        <xdr:cNvSpPr txBox="1"/>
      </xdr:nvSpPr>
      <xdr:spPr>
        <a:xfrm>
          <a:off x="4709160" y="1844040"/>
          <a:ext cx="1539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No.</a:t>
          </a:r>
          <a:r>
            <a:rPr lang="en-IN" sz="1600" b="1" baseline="0">
              <a:latin typeface="STZhongsong" panose="02010600040101010101" pitchFamily="2" charset="-122"/>
              <a:ea typeface="STZhongsong" panose="02010600040101010101" pitchFamily="2" charset="-122"/>
            </a:rPr>
            <a:t> of Patient</a:t>
          </a:r>
          <a:endParaRPr lang="en-IN" sz="1600" b="1">
            <a:latin typeface="STZhongsong" panose="02010600040101010101" pitchFamily="2" charset="-122"/>
            <a:ea typeface="STZhongsong" panose="02010600040101010101" pitchFamily="2" charset="-122"/>
          </a:endParaRPr>
        </a:p>
      </xdr:txBody>
    </xdr:sp>
    <xdr:clientData/>
  </xdr:twoCellAnchor>
  <xdr:twoCellAnchor>
    <xdr:from>
      <xdr:col>10</xdr:col>
      <xdr:colOff>365760</xdr:colOff>
      <xdr:row>9</xdr:row>
      <xdr:rowOff>60960</xdr:rowOff>
    </xdr:from>
    <xdr:to>
      <xdr:col>12</xdr:col>
      <xdr:colOff>563880</xdr:colOff>
      <xdr:row>11</xdr:row>
      <xdr:rowOff>121920</xdr:rowOff>
    </xdr:to>
    <xdr:sp macro="" textlink="">
      <xdr:nvSpPr>
        <xdr:cNvPr id="27" name="TextBox 26">
          <a:extLst>
            <a:ext uri="{FF2B5EF4-FFF2-40B4-BE49-F238E27FC236}">
              <a16:creationId xmlns:a16="http://schemas.microsoft.com/office/drawing/2014/main" id="{D2E0B206-B611-40EE-9EE8-DF52A95E1681}"/>
            </a:ext>
          </a:extLst>
        </xdr:cNvPr>
        <xdr:cNvSpPr txBox="1"/>
      </xdr:nvSpPr>
      <xdr:spPr>
        <a:xfrm>
          <a:off x="7071360" y="1844040"/>
          <a:ext cx="1539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No.</a:t>
          </a:r>
          <a:r>
            <a:rPr lang="en-IN" sz="1600" b="1" baseline="0">
              <a:latin typeface="STZhongsong" panose="02010600040101010101" pitchFamily="2" charset="-122"/>
              <a:ea typeface="STZhongsong" panose="02010600040101010101" pitchFamily="2" charset="-122"/>
            </a:rPr>
            <a:t> of Patient</a:t>
          </a:r>
          <a:endParaRPr lang="en-IN" sz="1600" b="1">
            <a:latin typeface="STZhongsong" panose="02010600040101010101" pitchFamily="2" charset="-122"/>
            <a:ea typeface="STZhongsong" panose="02010600040101010101" pitchFamily="2" charset="-122"/>
          </a:endParaRPr>
        </a:p>
      </xdr:txBody>
    </xdr:sp>
    <xdr:clientData/>
  </xdr:twoCellAnchor>
  <xdr:twoCellAnchor editAs="oneCell">
    <xdr:from>
      <xdr:col>12</xdr:col>
      <xdr:colOff>579120</xdr:colOff>
      <xdr:row>6</xdr:row>
      <xdr:rowOff>167640</xdr:rowOff>
    </xdr:from>
    <xdr:to>
      <xdr:col>13</xdr:col>
      <xdr:colOff>487680</xdr:colOff>
      <xdr:row>9</xdr:row>
      <xdr:rowOff>152400</xdr:rowOff>
    </xdr:to>
    <xdr:pic>
      <xdr:nvPicPr>
        <xdr:cNvPr id="29" name="Graphic 28" descr="Rating 3 Star with solid fill">
          <a:extLst>
            <a:ext uri="{FF2B5EF4-FFF2-40B4-BE49-F238E27FC236}">
              <a16:creationId xmlns:a16="http://schemas.microsoft.com/office/drawing/2014/main" id="{39264E72-6BD7-F283-9993-D0ADDEF35B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25840" y="1356360"/>
          <a:ext cx="579120" cy="579120"/>
        </a:xfrm>
        <a:prstGeom prst="rect">
          <a:avLst/>
        </a:prstGeom>
      </xdr:spPr>
    </xdr:pic>
    <xdr:clientData/>
  </xdr:twoCellAnchor>
  <xdr:twoCellAnchor editAs="oneCell">
    <xdr:from>
      <xdr:col>9</xdr:col>
      <xdr:colOff>210960</xdr:colOff>
      <xdr:row>7</xdr:row>
      <xdr:rowOff>25680</xdr:rowOff>
    </xdr:from>
    <xdr:to>
      <xdr:col>10</xdr:col>
      <xdr:colOff>124320</xdr:colOff>
      <xdr:row>10</xdr:row>
      <xdr:rowOff>15240</xdr:rowOff>
    </xdr:to>
    <xdr:pic>
      <xdr:nvPicPr>
        <xdr:cNvPr id="31" name="Graphic 30" descr="Hourglass Finished outline">
          <a:extLst>
            <a:ext uri="{FF2B5EF4-FFF2-40B4-BE49-F238E27FC236}">
              <a16:creationId xmlns:a16="http://schemas.microsoft.com/office/drawing/2014/main" id="{F18C1D4D-053B-839C-5295-14482551F50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246000" y="1412520"/>
          <a:ext cx="583920" cy="583920"/>
        </a:xfrm>
        <a:prstGeom prst="rect">
          <a:avLst/>
        </a:prstGeom>
      </xdr:spPr>
    </xdr:pic>
    <xdr:clientData/>
  </xdr:twoCellAnchor>
  <xdr:twoCellAnchor editAs="oneCell">
    <xdr:from>
      <xdr:col>5</xdr:col>
      <xdr:colOff>152400</xdr:colOff>
      <xdr:row>6</xdr:row>
      <xdr:rowOff>167640</xdr:rowOff>
    </xdr:from>
    <xdr:to>
      <xdr:col>6</xdr:col>
      <xdr:colOff>206045</xdr:colOff>
      <xdr:row>10</xdr:row>
      <xdr:rowOff>45720</xdr:rowOff>
    </xdr:to>
    <xdr:pic>
      <xdr:nvPicPr>
        <xdr:cNvPr id="33" name="Graphic 32" descr="Sling outline">
          <a:extLst>
            <a:ext uri="{FF2B5EF4-FFF2-40B4-BE49-F238E27FC236}">
              <a16:creationId xmlns:a16="http://schemas.microsoft.com/office/drawing/2014/main" id="{88EB57E1-1903-A5BE-F1B9-7BB3D7F465E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05200" y="1356360"/>
          <a:ext cx="724205" cy="670560"/>
        </a:xfrm>
        <a:prstGeom prst="rect">
          <a:avLst/>
        </a:prstGeom>
      </xdr:spPr>
    </xdr:pic>
    <xdr:clientData/>
  </xdr:twoCellAnchor>
  <xdr:twoCellAnchor>
    <xdr:from>
      <xdr:col>2</xdr:col>
      <xdr:colOff>487680</xdr:colOff>
      <xdr:row>16</xdr:row>
      <xdr:rowOff>152400</xdr:rowOff>
    </xdr:from>
    <xdr:to>
      <xdr:col>7</xdr:col>
      <xdr:colOff>548640</xdr:colOff>
      <xdr:row>33</xdr:row>
      <xdr:rowOff>45720</xdr:rowOff>
    </xdr:to>
    <xdr:graphicFrame macro="">
      <xdr:nvGraphicFramePr>
        <xdr:cNvPr id="34" name="Chart 33">
          <a:extLst>
            <a:ext uri="{FF2B5EF4-FFF2-40B4-BE49-F238E27FC236}">
              <a16:creationId xmlns:a16="http://schemas.microsoft.com/office/drawing/2014/main" id="{E9B6C227-36CE-45EB-9878-EC6DC9B8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518160</xdr:colOff>
      <xdr:row>31</xdr:row>
      <xdr:rowOff>182880</xdr:rowOff>
    </xdr:from>
    <xdr:to>
      <xdr:col>7</xdr:col>
      <xdr:colOff>548640</xdr:colOff>
      <xdr:row>33</xdr:row>
      <xdr:rowOff>60960</xdr:rowOff>
    </xdr:to>
    <xdr:sp macro="" textlink="">
      <xdr:nvSpPr>
        <xdr:cNvPr id="36" name="TextBox 35">
          <a:extLst>
            <a:ext uri="{FF2B5EF4-FFF2-40B4-BE49-F238E27FC236}">
              <a16:creationId xmlns:a16="http://schemas.microsoft.com/office/drawing/2014/main" id="{68363A85-FA76-4941-8D1D-AFE487F8D007}"/>
            </a:ext>
          </a:extLst>
        </xdr:cNvPr>
        <xdr:cNvSpPr txBox="1"/>
      </xdr:nvSpPr>
      <xdr:spPr>
        <a:xfrm>
          <a:off x="1859280" y="6324600"/>
          <a:ext cx="3383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Patient</a:t>
          </a:r>
          <a:r>
            <a:rPr lang="en-IN" sz="1600" b="1" baseline="0">
              <a:latin typeface="STZhongsong" panose="02010600040101010101" pitchFamily="2" charset="-122"/>
              <a:ea typeface="STZhongsong" panose="02010600040101010101" pitchFamily="2" charset="-122"/>
            </a:rPr>
            <a:t> Attendent status</a:t>
          </a:r>
          <a:endParaRPr lang="en-IN" sz="1600" b="1">
            <a:latin typeface="STZhongsong" panose="02010600040101010101" pitchFamily="2" charset="-122"/>
            <a:ea typeface="STZhongsong" panose="02010600040101010101" pitchFamily="2" charset="-122"/>
          </a:endParaRPr>
        </a:p>
      </xdr:txBody>
    </xdr:sp>
    <xdr:clientData/>
  </xdr:twoCellAnchor>
  <xdr:twoCellAnchor>
    <xdr:from>
      <xdr:col>8</xdr:col>
      <xdr:colOff>121920</xdr:colOff>
      <xdr:row>17</xdr:row>
      <xdr:rowOff>0</xdr:rowOff>
    </xdr:from>
    <xdr:to>
      <xdr:col>13</xdr:col>
      <xdr:colOff>502920</xdr:colOff>
      <xdr:row>33</xdr:row>
      <xdr:rowOff>45720</xdr:rowOff>
    </xdr:to>
    <xdr:graphicFrame macro="">
      <xdr:nvGraphicFramePr>
        <xdr:cNvPr id="37" name="Chart 36">
          <a:extLst>
            <a:ext uri="{FF2B5EF4-FFF2-40B4-BE49-F238E27FC236}">
              <a16:creationId xmlns:a16="http://schemas.microsoft.com/office/drawing/2014/main" id="{0E00A0B5-EFEF-4D09-A131-62F5FCFD9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99060</xdr:colOff>
      <xdr:row>22</xdr:row>
      <xdr:rowOff>104139</xdr:rowOff>
    </xdr:from>
    <xdr:to>
      <xdr:col>23</xdr:col>
      <xdr:colOff>365760</xdr:colOff>
      <xdr:row>43</xdr:row>
      <xdr:rowOff>88137</xdr:rowOff>
    </xdr:to>
    <xdr:graphicFrame macro="">
      <xdr:nvGraphicFramePr>
        <xdr:cNvPr id="41" name="Chart 40">
          <a:extLst>
            <a:ext uri="{FF2B5EF4-FFF2-40B4-BE49-F238E27FC236}">
              <a16:creationId xmlns:a16="http://schemas.microsoft.com/office/drawing/2014/main" id="{55AE7636-7025-48F2-9787-EEE43EB6C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198120</xdr:colOff>
      <xdr:row>31</xdr:row>
      <xdr:rowOff>182880</xdr:rowOff>
    </xdr:from>
    <xdr:to>
      <xdr:col>13</xdr:col>
      <xdr:colOff>228600</xdr:colOff>
      <xdr:row>33</xdr:row>
      <xdr:rowOff>60960</xdr:rowOff>
    </xdr:to>
    <xdr:sp macro="" textlink="">
      <xdr:nvSpPr>
        <xdr:cNvPr id="42" name="TextBox 41">
          <a:extLst>
            <a:ext uri="{FF2B5EF4-FFF2-40B4-BE49-F238E27FC236}">
              <a16:creationId xmlns:a16="http://schemas.microsoft.com/office/drawing/2014/main" id="{E14868F6-5D0F-4BC4-8F08-18E3E43D3E2E}"/>
            </a:ext>
          </a:extLst>
        </xdr:cNvPr>
        <xdr:cNvSpPr txBox="1"/>
      </xdr:nvSpPr>
      <xdr:spPr>
        <a:xfrm>
          <a:off x="5562600" y="6324600"/>
          <a:ext cx="3383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Gender</a:t>
          </a:r>
          <a:r>
            <a:rPr lang="en-IN" sz="1600" b="1" baseline="0">
              <a:latin typeface="STZhongsong" panose="02010600040101010101" pitchFamily="2" charset="-122"/>
              <a:ea typeface="STZhongsong" panose="02010600040101010101" pitchFamily="2" charset="-122"/>
            </a:rPr>
            <a:t> Wise analysis</a:t>
          </a:r>
          <a:endParaRPr lang="en-IN" sz="1600" b="1">
            <a:latin typeface="STZhongsong" panose="02010600040101010101" pitchFamily="2" charset="-122"/>
            <a:ea typeface="STZhongsong" panose="02010600040101010101" pitchFamily="2" charset="-122"/>
          </a:endParaRPr>
        </a:p>
      </xdr:txBody>
    </xdr:sp>
    <xdr:clientData/>
  </xdr:twoCellAnchor>
  <xdr:twoCellAnchor>
    <xdr:from>
      <xdr:col>16</xdr:col>
      <xdr:colOff>563880</xdr:colOff>
      <xdr:row>41</xdr:row>
      <xdr:rowOff>137160</xdr:rowOff>
    </xdr:from>
    <xdr:to>
      <xdr:col>22</xdr:col>
      <xdr:colOff>548640</xdr:colOff>
      <xdr:row>43</xdr:row>
      <xdr:rowOff>30480</xdr:rowOff>
    </xdr:to>
    <xdr:sp macro="" textlink="">
      <xdr:nvSpPr>
        <xdr:cNvPr id="43" name="TextBox 42">
          <a:extLst>
            <a:ext uri="{FF2B5EF4-FFF2-40B4-BE49-F238E27FC236}">
              <a16:creationId xmlns:a16="http://schemas.microsoft.com/office/drawing/2014/main" id="{80D4DFCB-4BBD-4DFF-97A2-95397E88E6C8}"/>
            </a:ext>
          </a:extLst>
        </xdr:cNvPr>
        <xdr:cNvSpPr txBox="1"/>
      </xdr:nvSpPr>
      <xdr:spPr>
        <a:xfrm>
          <a:off x="11292840" y="8260080"/>
          <a:ext cx="4008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No.</a:t>
          </a:r>
          <a:r>
            <a:rPr lang="en-IN" sz="1600" b="1" baseline="0">
              <a:latin typeface="STZhongsong" panose="02010600040101010101" pitchFamily="2" charset="-122"/>
              <a:ea typeface="STZhongsong" panose="02010600040101010101" pitchFamily="2" charset="-122"/>
            </a:rPr>
            <a:t> of Patient by Department Refeeral</a:t>
          </a:r>
          <a:endParaRPr lang="en-IN" sz="1600" b="1">
            <a:latin typeface="STZhongsong" panose="02010600040101010101" pitchFamily="2" charset="-122"/>
            <a:ea typeface="STZhongsong" panose="02010600040101010101" pitchFamily="2" charset="-122"/>
          </a:endParaRPr>
        </a:p>
      </xdr:txBody>
    </xdr:sp>
    <xdr:clientData/>
  </xdr:twoCellAnchor>
  <xdr:twoCellAnchor>
    <xdr:from>
      <xdr:col>14</xdr:col>
      <xdr:colOff>114300</xdr:colOff>
      <xdr:row>0</xdr:row>
      <xdr:rowOff>165100</xdr:rowOff>
    </xdr:from>
    <xdr:to>
      <xdr:col>23</xdr:col>
      <xdr:colOff>411480</xdr:colOff>
      <xdr:row>21</xdr:row>
      <xdr:rowOff>167640</xdr:rowOff>
    </xdr:to>
    <xdr:graphicFrame macro="">
      <xdr:nvGraphicFramePr>
        <xdr:cNvPr id="44" name="Chart 43">
          <a:extLst>
            <a:ext uri="{FF2B5EF4-FFF2-40B4-BE49-F238E27FC236}">
              <a16:creationId xmlns:a16="http://schemas.microsoft.com/office/drawing/2014/main" id="{1D6A3BCB-E29C-4C23-9C21-3CCCAE5AA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462454</xdr:colOff>
      <xdr:row>11</xdr:row>
      <xdr:rowOff>70419</xdr:rowOff>
    </xdr:from>
    <xdr:to>
      <xdr:col>6</xdr:col>
      <xdr:colOff>215461</xdr:colOff>
      <xdr:row>15</xdr:row>
      <xdr:rowOff>162911</xdr:rowOff>
    </xdr:to>
    <xdr:graphicFrame macro="">
      <xdr:nvGraphicFramePr>
        <xdr:cNvPr id="46" name="Chart 45">
          <a:hlinkClick xmlns:r="http://schemas.openxmlformats.org/officeDocument/2006/relationships" r:id="rId12"/>
          <a:extLst>
            <a:ext uri="{FF2B5EF4-FFF2-40B4-BE49-F238E27FC236}">
              <a16:creationId xmlns:a16="http://schemas.microsoft.com/office/drawing/2014/main" id="{4EB4AF3B-9CFE-4C36-9864-466F74DF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472440</xdr:colOff>
      <xdr:row>20</xdr:row>
      <xdr:rowOff>76200</xdr:rowOff>
    </xdr:from>
    <xdr:to>
      <xdr:col>21</xdr:col>
      <xdr:colOff>457200</xdr:colOff>
      <xdr:row>21</xdr:row>
      <xdr:rowOff>167640</xdr:rowOff>
    </xdr:to>
    <xdr:sp macro="" textlink="">
      <xdr:nvSpPr>
        <xdr:cNvPr id="45" name="TextBox 44">
          <a:extLst>
            <a:ext uri="{FF2B5EF4-FFF2-40B4-BE49-F238E27FC236}">
              <a16:creationId xmlns:a16="http://schemas.microsoft.com/office/drawing/2014/main" id="{447E9624-8359-4C9A-B6E9-1473087FE839}"/>
            </a:ext>
          </a:extLst>
        </xdr:cNvPr>
        <xdr:cNvSpPr txBox="1"/>
      </xdr:nvSpPr>
      <xdr:spPr>
        <a:xfrm>
          <a:off x="10530840" y="4038600"/>
          <a:ext cx="4008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latin typeface="STZhongsong" panose="02010600040101010101" pitchFamily="2" charset="-122"/>
              <a:ea typeface="STZhongsong" panose="02010600040101010101" pitchFamily="2" charset="-122"/>
            </a:rPr>
            <a:t>No.</a:t>
          </a:r>
          <a:r>
            <a:rPr lang="en-IN" sz="1600" b="1" baseline="0">
              <a:latin typeface="STZhongsong" panose="02010600040101010101" pitchFamily="2" charset="-122"/>
              <a:ea typeface="STZhongsong" panose="02010600040101010101" pitchFamily="2" charset="-122"/>
            </a:rPr>
            <a:t> of Patient by Age Group</a:t>
          </a:r>
        </a:p>
      </xdr:txBody>
    </xdr:sp>
    <xdr:clientData/>
  </xdr:twoCellAnchor>
  <xdr:twoCellAnchor>
    <xdr:from>
      <xdr:col>6</xdr:col>
      <xdr:colOff>350520</xdr:colOff>
      <xdr:row>12</xdr:row>
      <xdr:rowOff>10510</xdr:rowOff>
    </xdr:from>
    <xdr:to>
      <xdr:col>10</xdr:col>
      <xdr:colOff>91440</xdr:colOff>
      <xdr:row>15</xdr:row>
      <xdr:rowOff>157654</xdr:rowOff>
    </xdr:to>
    <xdr:graphicFrame macro="">
      <xdr:nvGraphicFramePr>
        <xdr:cNvPr id="47" name="Chart 46">
          <a:hlinkClick xmlns:r="http://schemas.openxmlformats.org/officeDocument/2006/relationships" r:id="rId14"/>
          <a:extLst>
            <a:ext uri="{FF2B5EF4-FFF2-40B4-BE49-F238E27FC236}">
              <a16:creationId xmlns:a16="http://schemas.microsoft.com/office/drawing/2014/main" id="{C6B774CE-F242-4600-9D34-EFE9FF3C1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174170</xdr:colOff>
      <xdr:row>11</xdr:row>
      <xdr:rowOff>138888</xdr:rowOff>
    </xdr:from>
    <xdr:to>
      <xdr:col>13</xdr:col>
      <xdr:colOff>603738</xdr:colOff>
      <xdr:row>15</xdr:row>
      <xdr:rowOff>169983</xdr:rowOff>
    </xdr:to>
    <xdr:graphicFrame macro="">
      <xdr:nvGraphicFramePr>
        <xdr:cNvPr id="48" name="Chart 47">
          <a:hlinkClick xmlns:r="http://schemas.openxmlformats.org/officeDocument/2006/relationships" r:id="rId16"/>
          <a:extLst>
            <a:ext uri="{FF2B5EF4-FFF2-40B4-BE49-F238E27FC236}">
              <a16:creationId xmlns:a16="http://schemas.microsoft.com/office/drawing/2014/main" id="{3E94B735-358C-4FC6-BB0D-9B55B31C2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415635</xdr:colOff>
          <xdr:row>34</xdr:row>
          <xdr:rowOff>55407</xdr:rowOff>
        </xdr:from>
        <xdr:to>
          <xdr:col>13</xdr:col>
          <xdr:colOff>586605</xdr:colOff>
          <xdr:row>43</xdr:row>
          <xdr:rowOff>1735</xdr:rowOff>
        </xdr:to>
        <xdr:pic>
          <xdr:nvPicPr>
            <xdr:cNvPr id="21" name="Picture 20">
              <a:extLst>
                <a:ext uri="{FF2B5EF4-FFF2-40B4-BE49-F238E27FC236}">
                  <a16:creationId xmlns:a16="http://schemas.microsoft.com/office/drawing/2014/main" id="{36D348E7-531C-A6D9-60AE-1E6584B7A3EE}"/>
                </a:ext>
              </a:extLst>
            </xdr:cNvPr>
            <xdr:cNvPicPr>
              <a:picLocks noChangeAspect="1" noChangeArrowheads="1"/>
              <a:extLst>
                <a:ext uri="{84589F7E-364E-4C9E-8A38-B11213B215E9}">
                  <a14:cameraTool cellRange="'Pivot report'!$A$47:$F$49" spid="_x0000_s2055"/>
                </a:ext>
              </a:extLst>
            </xdr:cNvPicPr>
          </xdr:nvPicPr>
          <xdr:blipFill>
            <a:blip xmlns:r="http://schemas.openxmlformats.org/officeDocument/2006/relationships" r:embed="rId18"/>
            <a:srcRect/>
            <a:stretch>
              <a:fillRect/>
            </a:stretch>
          </xdr:blipFill>
          <xdr:spPr bwMode="auto">
            <a:xfrm>
              <a:off x="1745671" y="6650171"/>
              <a:ext cx="7486170" cy="169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11</xdr:col>
      <xdr:colOff>166254</xdr:colOff>
      <xdr:row>0</xdr:row>
      <xdr:rowOff>110838</xdr:rowOff>
    </xdr:from>
    <xdr:to>
      <xdr:col>12</xdr:col>
      <xdr:colOff>328745</xdr:colOff>
      <xdr:row>4</xdr:row>
      <xdr:rowOff>152401</xdr:rowOff>
    </xdr:to>
    <xdr:pic>
      <xdr:nvPicPr>
        <xdr:cNvPr id="30" name="Graphic 29" descr="Document with solid fill">
          <a:hlinkClick xmlns:r="http://schemas.openxmlformats.org/officeDocument/2006/relationships" r:id="rId19"/>
          <a:extLst>
            <a:ext uri="{FF2B5EF4-FFF2-40B4-BE49-F238E27FC236}">
              <a16:creationId xmlns:a16="http://schemas.microsoft.com/office/drawing/2014/main" id="{0A7D4599-369D-8E2B-1C2E-30113A67080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481454" y="110838"/>
          <a:ext cx="827509" cy="817418"/>
        </a:xfrm>
        <a:prstGeom prst="rect">
          <a:avLst/>
        </a:prstGeom>
      </xdr:spPr>
    </xdr:pic>
    <xdr:clientData/>
  </xdr:twoCellAnchor>
  <xdr:twoCellAnchor>
    <xdr:from>
      <xdr:col>12</xdr:col>
      <xdr:colOff>346364</xdr:colOff>
      <xdr:row>1</xdr:row>
      <xdr:rowOff>0</xdr:rowOff>
    </xdr:from>
    <xdr:to>
      <xdr:col>13</xdr:col>
      <xdr:colOff>554182</xdr:colOff>
      <xdr:row>5</xdr:row>
      <xdr:rowOff>55418</xdr:rowOff>
    </xdr:to>
    <xdr:sp macro="" textlink="">
      <xdr:nvSpPr>
        <xdr:cNvPr id="32" name="TextBox 31">
          <a:extLst>
            <a:ext uri="{FF2B5EF4-FFF2-40B4-BE49-F238E27FC236}">
              <a16:creationId xmlns:a16="http://schemas.microsoft.com/office/drawing/2014/main" id="{BFBB3A4E-FE87-53ED-19B2-F7E3DCB523A1}"/>
            </a:ext>
          </a:extLst>
        </xdr:cNvPr>
        <xdr:cNvSpPr txBox="1"/>
      </xdr:nvSpPr>
      <xdr:spPr>
        <a:xfrm>
          <a:off x="8326582" y="193964"/>
          <a:ext cx="872836" cy="83127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Pivot </a:t>
          </a:r>
        </a:p>
        <a:p>
          <a:r>
            <a:rPr lang="en-IN" sz="1800" b="1"/>
            <a:t>Report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82099</xdr:colOff>
      <xdr:row>44</xdr:row>
      <xdr:rowOff>127820</xdr:rowOff>
    </xdr:to>
    <xdr:sp macro="" textlink="">
      <xdr:nvSpPr>
        <xdr:cNvPr id="2" name="Rectangle 1">
          <a:extLst>
            <a:ext uri="{FF2B5EF4-FFF2-40B4-BE49-F238E27FC236}">
              <a16:creationId xmlns:a16="http://schemas.microsoft.com/office/drawing/2014/main" id="{168D11DD-C8A9-4E8D-A1F2-FD9325942D94}"/>
            </a:ext>
          </a:extLst>
        </xdr:cNvPr>
        <xdr:cNvSpPr/>
      </xdr:nvSpPr>
      <xdr:spPr>
        <a:xfrm>
          <a:off x="0" y="0"/>
          <a:ext cx="16175539" cy="884510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152400</xdr:rowOff>
    </xdr:from>
    <xdr:to>
      <xdr:col>12</xdr:col>
      <xdr:colOff>586740</xdr:colOff>
      <xdr:row>17</xdr:row>
      <xdr:rowOff>182880</xdr:rowOff>
    </xdr:to>
    <xdr:graphicFrame macro="">
      <xdr:nvGraphicFramePr>
        <xdr:cNvPr id="3" name="Chart 2">
          <a:extLst>
            <a:ext uri="{FF2B5EF4-FFF2-40B4-BE49-F238E27FC236}">
              <a16:creationId xmlns:a16="http://schemas.microsoft.com/office/drawing/2014/main" id="{1B6A7737-4A83-44F4-87B9-E1A400D80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0</xdr:row>
      <xdr:rowOff>114300</xdr:rowOff>
    </xdr:from>
    <xdr:to>
      <xdr:col>1</xdr:col>
      <xdr:colOff>60960</xdr:colOff>
      <xdr:row>4</xdr:row>
      <xdr:rowOff>7620</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4F50FCD4-FFAE-4700-A3BE-41D5D290C9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 y="114300"/>
          <a:ext cx="685800" cy="685800"/>
        </a:xfrm>
        <a:prstGeom prst="rect">
          <a:avLst/>
        </a:prstGeom>
      </xdr:spPr>
    </xdr:pic>
    <xdr:clientData/>
  </xdr:twoCellAnchor>
  <xdr:twoCellAnchor>
    <xdr:from>
      <xdr:col>0</xdr:col>
      <xdr:colOff>281940</xdr:colOff>
      <xdr:row>18</xdr:row>
      <xdr:rowOff>137160</xdr:rowOff>
    </xdr:from>
    <xdr:to>
      <xdr:col>8</xdr:col>
      <xdr:colOff>304800</xdr:colOff>
      <xdr:row>20</xdr:row>
      <xdr:rowOff>53340</xdr:rowOff>
    </xdr:to>
    <xdr:sp macro="" textlink="">
      <xdr:nvSpPr>
        <xdr:cNvPr id="5" name="TextBox 4">
          <a:extLst>
            <a:ext uri="{FF2B5EF4-FFF2-40B4-BE49-F238E27FC236}">
              <a16:creationId xmlns:a16="http://schemas.microsoft.com/office/drawing/2014/main" id="{6BF581E2-FAB1-88ED-EE93-740E3B89142F}"/>
            </a:ext>
          </a:extLst>
        </xdr:cNvPr>
        <xdr:cNvSpPr txBox="1"/>
      </xdr:nvSpPr>
      <xdr:spPr>
        <a:xfrm>
          <a:off x="281940" y="3703320"/>
          <a:ext cx="5387340" cy="312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 a daily trend with an area sparkline to spot</a:t>
          </a:r>
          <a:r>
            <a:rPr lang="en-IN" sz="1100" baseline="0"/>
            <a:t> patterns like busy days or seasonal trends</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82099</xdr:colOff>
      <xdr:row>44</xdr:row>
      <xdr:rowOff>127820</xdr:rowOff>
    </xdr:to>
    <xdr:sp macro="" textlink="">
      <xdr:nvSpPr>
        <xdr:cNvPr id="2" name="Rectangle 1">
          <a:extLst>
            <a:ext uri="{FF2B5EF4-FFF2-40B4-BE49-F238E27FC236}">
              <a16:creationId xmlns:a16="http://schemas.microsoft.com/office/drawing/2014/main" id="{F99BF7D6-8716-403B-8961-B795E5828BB9}"/>
            </a:ext>
          </a:extLst>
        </xdr:cNvPr>
        <xdr:cNvSpPr/>
      </xdr:nvSpPr>
      <xdr:spPr>
        <a:xfrm>
          <a:off x="0" y="0"/>
          <a:ext cx="16175539" cy="88451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0</xdr:row>
      <xdr:rowOff>99060</xdr:rowOff>
    </xdr:from>
    <xdr:to>
      <xdr:col>12</xdr:col>
      <xdr:colOff>662940</xdr:colOff>
      <xdr:row>19</xdr:row>
      <xdr:rowOff>121920</xdr:rowOff>
    </xdr:to>
    <xdr:graphicFrame macro="">
      <xdr:nvGraphicFramePr>
        <xdr:cNvPr id="3" name="Chart 2">
          <a:extLst>
            <a:ext uri="{FF2B5EF4-FFF2-40B4-BE49-F238E27FC236}">
              <a16:creationId xmlns:a16="http://schemas.microsoft.com/office/drawing/2014/main" id="{A93929B6-D333-4710-AB1C-B00949B39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0</xdr:row>
      <xdr:rowOff>53340</xdr:rowOff>
    </xdr:from>
    <xdr:to>
      <xdr:col>1</xdr:col>
      <xdr:colOff>114300</xdr:colOff>
      <xdr:row>3</xdr:row>
      <xdr:rowOff>144780</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A5919F64-478E-4D5F-A81B-306938A8CD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060" y="53340"/>
          <a:ext cx="685800" cy="685800"/>
        </a:xfrm>
        <a:prstGeom prst="rect">
          <a:avLst/>
        </a:prstGeom>
      </xdr:spPr>
    </xdr:pic>
    <xdr:clientData/>
  </xdr:twoCellAnchor>
  <xdr:twoCellAnchor>
    <xdr:from>
      <xdr:col>0</xdr:col>
      <xdr:colOff>419100</xdr:colOff>
      <xdr:row>20</xdr:row>
      <xdr:rowOff>53340</xdr:rowOff>
    </xdr:from>
    <xdr:to>
      <xdr:col>8</xdr:col>
      <xdr:colOff>441960</xdr:colOff>
      <xdr:row>22</xdr:row>
      <xdr:rowOff>137160</xdr:rowOff>
    </xdr:to>
    <xdr:sp macro="" textlink="">
      <xdr:nvSpPr>
        <xdr:cNvPr id="5" name="TextBox 4">
          <a:extLst>
            <a:ext uri="{FF2B5EF4-FFF2-40B4-BE49-F238E27FC236}">
              <a16:creationId xmlns:a16="http://schemas.microsoft.com/office/drawing/2014/main" id="{5B8E32E5-6E75-449E-A1E6-243BEF9AED0A}"/>
            </a:ext>
          </a:extLst>
        </xdr:cNvPr>
        <xdr:cNvSpPr txBox="1"/>
      </xdr:nvSpPr>
      <xdr:spPr>
        <a:xfrm>
          <a:off x="419100" y="4015740"/>
          <a:ext cx="53873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a:t>
          </a:r>
          <a:r>
            <a:rPr lang="en-IN" sz="1100" baseline="0"/>
            <a:t> an area sparkline to track daily changes and highlights days with longer wait time that might meed imporvement</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82099</xdr:colOff>
      <xdr:row>44</xdr:row>
      <xdr:rowOff>127820</xdr:rowOff>
    </xdr:to>
    <xdr:sp macro="" textlink="">
      <xdr:nvSpPr>
        <xdr:cNvPr id="2" name="Rectangle 1">
          <a:extLst>
            <a:ext uri="{FF2B5EF4-FFF2-40B4-BE49-F238E27FC236}">
              <a16:creationId xmlns:a16="http://schemas.microsoft.com/office/drawing/2014/main" id="{F62A14E4-2765-496C-8CF7-0649CDB0A561}"/>
            </a:ext>
          </a:extLst>
        </xdr:cNvPr>
        <xdr:cNvSpPr/>
      </xdr:nvSpPr>
      <xdr:spPr>
        <a:xfrm>
          <a:off x="0" y="0"/>
          <a:ext cx="16175539" cy="88451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0</xdr:col>
      <xdr:colOff>60960</xdr:colOff>
      <xdr:row>0</xdr:row>
      <xdr:rowOff>83820</xdr:rowOff>
    </xdr:from>
    <xdr:to>
      <xdr:col>13</xdr:col>
      <xdr:colOff>7620</xdr:colOff>
      <xdr:row>20</xdr:row>
      <xdr:rowOff>53340</xdr:rowOff>
    </xdr:to>
    <xdr:graphicFrame macro="">
      <xdr:nvGraphicFramePr>
        <xdr:cNvPr id="3" name="Chart 2">
          <a:extLst>
            <a:ext uri="{FF2B5EF4-FFF2-40B4-BE49-F238E27FC236}">
              <a16:creationId xmlns:a16="http://schemas.microsoft.com/office/drawing/2014/main" id="{FA083308-616C-4065-B633-537B2183C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83820</xdr:colOff>
      <xdr:row>0</xdr:row>
      <xdr:rowOff>30480</xdr:rowOff>
    </xdr:from>
    <xdr:to>
      <xdr:col>1</xdr:col>
      <xdr:colOff>99060</xdr:colOff>
      <xdr:row>3</xdr:row>
      <xdr:rowOff>121920</xdr:rowOff>
    </xdr:to>
    <xdr:pic>
      <xdr:nvPicPr>
        <xdr:cNvPr id="5" name="Graphic 4" descr="Work from home house with solid fill">
          <a:hlinkClick xmlns:r="http://schemas.openxmlformats.org/officeDocument/2006/relationships" r:id="rId2"/>
          <a:extLst>
            <a:ext uri="{FF2B5EF4-FFF2-40B4-BE49-F238E27FC236}">
              <a16:creationId xmlns:a16="http://schemas.microsoft.com/office/drawing/2014/main" id="{7BA1AB86-8BB1-B400-6703-6607E3B9F8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3820" y="30480"/>
          <a:ext cx="685800" cy="685800"/>
        </a:xfrm>
        <a:prstGeom prst="rect">
          <a:avLst/>
        </a:prstGeom>
      </xdr:spPr>
    </xdr:pic>
    <xdr:clientData/>
  </xdr:twoCellAnchor>
  <xdr:twoCellAnchor>
    <xdr:from>
      <xdr:col>0</xdr:col>
      <xdr:colOff>365760</xdr:colOff>
      <xdr:row>20</xdr:row>
      <xdr:rowOff>76200</xdr:rowOff>
    </xdr:from>
    <xdr:to>
      <xdr:col>8</xdr:col>
      <xdr:colOff>388620</xdr:colOff>
      <xdr:row>22</xdr:row>
      <xdr:rowOff>160020</xdr:rowOff>
    </xdr:to>
    <xdr:sp macro="" textlink="">
      <xdr:nvSpPr>
        <xdr:cNvPr id="6" name="TextBox 5">
          <a:extLst>
            <a:ext uri="{FF2B5EF4-FFF2-40B4-BE49-F238E27FC236}">
              <a16:creationId xmlns:a16="http://schemas.microsoft.com/office/drawing/2014/main" id="{E83C8FC6-99E7-4BE4-B0BA-01EE73C7C0DC}"/>
            </a:ext>
          </a:extLst>
        </xdr:cNvPr>
        <xdr:cNvSpPr txBox="1"/>
      </xdr:nvSpPr>
      <xdr:spPr>
        <a:xfrm>
          <a:off x="365760" y="4038600"/>
          <a:ext cx="53873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a:t>
          </a:r>
          <a:r>
            <a:rPr lang="en-IN" sz="1100" baseline="0"/>
            <a:t> an area chart to show trends, spot drops in satisfaction, and link them to busy times or challenges</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16666665" createdVersion="5" refreshedVersion="8" minRefreshableVersion="3" recordCount="0" supportSubquery="1" supportAdvancedDrill="1" xr:uid="{1016C6B1-657D-4B41-A9C0-169E97B94493}">
  <cacheSource type="external" connectionId="3"/>
  <cacheFields count="3">
    <cacheField name="[Measures].[Count of Patient Id]" caption="Count of Patient Id" numFmtId="0" hierarchy="23" level="32767"/>
    <cacheField name="[calende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18981482" createdVersion="5" refreshedVersion="8" minRefreshableVersion="3" recordCount="0" supportSubquery="1" supportAdvancedDrill="1" xr:uid="{3458EC5E-6DF7-4680-AD0E-0D0A585D322D}">
  <cacheSource type="external" connectionId="3"/>
  <cacheFields count="2">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20949076" createdVersion="5" refreshedVersion="8" minRefreshableVersion="3" recordCount="0" supportSubquery="1" supportAdvancedDrill="1" xr:uid="{20B8D602-7020-4DCF-BA8F-9010F31520EA}">
  <cacheSource type="external" connectionId="3"/>
  <cacheFields count="2">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23148146" createdVersion="5" refreshedVersion="8" minRefreshableVersion="3" recordCount="0" supportSubquery="1" supportAdvancedDrill="1" xr:uid="{1ACFF209-54FD-4DDD-9330-A56B5D9942DE}">
  <cacheSource type="external" connectionId="3"/>
  <cacheFields count="2">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25578702" createdVersion="5" refreshedVersion="8" minRefreshableVersion="3" recordCount="0" supportSubquery="1" supportAdvancedDrill="1" xr:uid="{FE80BD57-AEEA-4705-BA0E-CCD0796FCA1B}">
  <cacheSource type="external" connectionId="3"/>
  <cacheFields count="3">
    <cacheField name="[calende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28009257" createdVersion="5" refreshedVersion="8" minRefreshableVersion="3" recordCount="0" supportSubquery="1" supportAdvancedDrill="1" xr:uid="{8FA754E6-1C08-467B-B6B2-11D00B048E4A}">
  <cacheSource type="external" connectionId="3"/>
  <cacheFields count="3">
    <cacheField name="[calender 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30324074" createdVersion="5" refreshedVersion="8" minRefreshableVersion="3" recordCount="0" supportSubquery="1" supportAdvancedDrill="1" xr:uid="{A49F13D5-8556-4D65-8AE3-4DE1E3ED7C85}">
  <cacheSource type="external" connectionId="3"/>
  <cacheFields count="3">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3275463" createdVersion="5" refreshedVersion="8" minRefreshableVersion="3" recordCount="0" supportSubquery="1" supportAdvancedDrill="1" xr:uid="{2FE06595-DE7A-4728-B414-CCAFB2E4C12C}">
  <cacheSource type="external" connectionId="3"/>
  <cacheFields count="3">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35185185" createdVersion="5" refreshedVersion="8" minRefreshableVersion="3" recordCount="0" supportSubquery="1" supportAdvancedDrill="1" xr:uid="{5C0AF3DB-4B3E-443C-A317-CA88EC378105}">
  <cacheSource type="external" connectionId="3"/>
  <cacheFields count="3">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37500002" createdVersion="5" refreshedVersion="8" minRefreshableVersion="3" recordCount="0" supportSubquery="1" supportAdvancedDrill="1" xr:uid="{1B0ED6A7-45D1-4E2D-BA87-53F7F7D5EE85}">
  <cacheSource type="external" connectionId="3"/>
  <cacheFields count="3">
    <cacheField name="[Hospital Emergency Room Data].[Pat. Attained Status].[Pat. Attained Status]" caption="Pat. Attained Status" numFmtId="0" hierarchy="17" level="1">
      <sharedItems count="2">
        <s v="Delay"/>
        <s v="Ontime"/>
      </sharedItems>
    </cacheField>
    <cacheField name="[Measures].[Count of Pat. Attained Status]" caption="Count of Pat. Attained Status" numFmtId="0" hierarchy="31"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2" memberValueDatatype="130" unbalanced="0">
      <fieldsUsage count="2">
        <fieldUsage x="-1"/>
        <fieldUsage x="0"/>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39930557" createdVersion="5" refreshedVersion="8" minRefreshableVersion="3" recordCount="0" supportSubquery="1" supportAdvancedDrill="1" xr:uid="{84D23C4C-8A7B-4A36-824A-BD28FFF3AC7C}">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42476852" createdVersion="5" refreshedVersion="8" minRefreshableVersion="3" recordCount="0" supportSubquery="1" supportAdvancedDrill="1" xr:uid="{D7B8276A-D34B-4EF8-9C9D-5989460F349F}">
  <cacheSource type="external" connectionId="3"/>
  <cacheFields count="3">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559944907407" createdVersion="5" refreshedVersion="8" minRefreshableVersion="3" recordCount="0" supportSubquery="1" supportAdvancedDrill="1" xr:uid="{5ACDFBE4-C158-409A-B26B-2F1B7F41514A}">
  <cacheSource type="external" connectionId="3"/>
  <cacheFields count="3">
    <cacheField name="[calender 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 Table].[Date (Year)].[Date (Year)]" caption="Date (Year)" numFmtId="0" hierarchy="3" level="1">
      <sharedItems count="2">
        <s v="2023"/>
        <s v="2024"/>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0.442367013886" createdVersion="3" refreshedVersion="8" minRefreshableVersion="3" recordCount="0" supportSubquery="1" supportAdvancedDrill="1" xr:uid="{E0BBABA7-CB65-42A4-818D-6252C115CC2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 Attained Status]" caption="Pat. Attained Status" attribute="1" defaultMemberUniqueName="[Hospital Emergency Room Data].[Pat. Attained Status].[All]" allUniqueName="[Hospital Emergency Room Data].[Pat. Attaine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 Attained Status]" caption="Count of Pat. Attaine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200691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C8321-B743-446F-B86A-627F9690CC84}" name="PivotTable3" cacheId="25" applyNumberFormats="0" applyBorderFormats="0" applyFontFormats="0" applyPatternFormats="0" applyAlignmentFormats="0" applyWidthHeightFormats="1" dataCaption="Values" tag="56e7d5a5-eaf3-425d-bd2f-2c56a14d8d92" updatedVersion="8" minRefreshableVersion="3" subtotalHiddenItems="1" itemPrintTitles="1" createdVersion="5"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CA540-67EA-4354-A583-FCC44F5F6346}" name="PivotTable6" cacheId="31" applyNumberFormats="0" applyBorderFormats="0" applyFontFormats="0" applyPatternFormats="0" applyAlignmentFormats="0" applyWidthHeightFormats="1" dataCaption="Values" tag="7c1b5523-64e4-4e9a-8229-034970bdb50d" updatedVersion="8" minRefreshableVersion="3" subtotalHiddenItems="1" itemPrintTitles="1" createdVersion="5" indent="0" outline="1" outlineData="1" multipleFieldFilters="0" chartFormat="12">
  <location ref="S10:T374"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2">
    <format dxfId="18">
      <pivotArea outline="0" collapsedLevelsAreSubtotals="1" fieldPosition="0"/>
    </format>
    <format dxfId="17">
      <pivotArea collapsedLevelsAreSubtotals="1" fieldPosition="0">
        <references count="1">
          <reference field="0" count="1">
            <x v="0"/>
          </reference>
        </references>
      </pivotArea>
    </format>
  </format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7E776-27AE-477A-B6FC-0DF0AE9A7003}" name="PivotTable9" cacheId="37" applyNumberFormats="0" applyBorderFormats="0" applyFontFormats="0" applyPatternFormats="0" applyAlignmentFormats="0" applyWidthHeightFormats="1" dataCaption="Values" tag="56e7d5a5-eaf3-425d-bd2f-2c56a14d8d92" updatedVersion="8" minRefreshableVersion="3" subtotalHiddenItems="1" itemPrintTitles="1" createdVersion="5" indent="0" outline="1" outlineData="1" multipleFieldFilters="0">
  <location ref="H1:I4" firstHeaderRow="1" firstDataRow="1" firstDataCol="1"/>
  <pivotFields count="3">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0" subtotal="count" showDataAs="percentOfTotal" baseField="0" baseItem="0" numFmtId="10"/>
  </dataFields>
  <formats count="2">
    <format dxfId="20">
      <pivotArea outline="0" collapsedLevelsAreSubtotals="1" fieldPosition="0"/>
    </format>
    <format dxfId="19">
      <pivotArea outline="0" fieldPosition="0">
        <references count="1">
          <reference field="4294967294" count="1">
            <x v="0"/>
          </reference>
        </references>
      </pivotArea>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B7136-D021-434B-B84F-B851DA255C50}" name="PivotTable4" cacheId="16" applyNumberFormats="0" applyBorderFormats="0" applyFontFormats="0" applyPatternFormats="0" applyAlignmentFormats="0" applyWidthHeightFormats="1" dataCaption="Values" tag="7c1b5523-64e4-4e9a-8229-034970bdb50d" updatedVersion="8" minRefreshableVersion="3" subtotalHiddenItems="1" itemPrintTitles="1" createdVersion="5" indent="0" outline="1" outlineData="1" multipleFieldFilters="0" chartFormat="9">
  <location ref="F10:G377"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0" subtotal="count" baseField="0" baseItem="0"/>
  </dataFields>
  <formats count="2">
    <format dxfId="22">
      <pivotArea outline="0" collapsedLevelsAreSubtotals="1" fieldPosition="0"/>
    </format>
    <format dxfId="21">
      <pivotArea collapsedLevelsAreSubtotals="1" fieldPosition="0">
        <references count="1">
          <reference field="1"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FBBDB9-B1C0-4CEA-8891-FACD098E3B6D}" name="PivotTable11" cacheId="43"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chartFormat="7">
  <location ref="X20:Y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 Attained Status" fld="1" subtotal="count" baseField="0" baseItem="0"/>
  </dataFields>
  <formats count="1">
    <format dxfId="23">
      <pivotArea outline="0" collapsedLevelsAreSubtotals="1" fieldPosition="0"/>
    </format>
  </format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67C4CD-D44A-48E7-9DAF-0AE37902ABDB}" name="PivotTable10" cacheId="40"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chartFormat="7">
  <location ref="X2:Y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98CBAA-DD30-4BC1-AC98-0A055015381E}" name="PivotTable13" cacheId="49"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chartFormat="7">
  <location ref="AK5:AL14"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0" subtotal="count" baseField="0" baseItem="0"/>
  </dataFields>
  <formats count="1">
    <format dxfId="2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F9224-354C-4039-8441-BE93F40D04AD}" name="PivotTable14" cacheId="52"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chartFormat="4">
  <location ref="AO5:AO8" firstHeaderRow="1" firstDataRow="1" firstDataCol="1"/>
  <pivotFields count="3">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2">
    <field x="1"/>
    <field x="0"/>
  </rowFields>
  <rowItems count="3">
    <i>
      <x/>
    </i>
    <i>
      <x v="1"/>
    </i>
    <i t="grand">
      <x/>
    </i>
  </rowItems>
  <formats count="1">
    <format dxfId="26">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8A86E3-6952-4CC3-A358-1D76B1F71CF6}" name="PivotTable1" cacheId="19" applyNumberFormats="0" applyBorderFormats="0" applyFontFormats="0" applyPatternFormats="0" applyAlignmentFormats="0" applyWidthHeightFormats="1" dataCaption="Values" tag="2eb74583-ae1d-4892-826b-b176ed5ed4a9" updatedVersion="8" minRefreshableVersion="3"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C36108-5470-40C3-99AB-D07FB0767DEA}" name="PivotTable12" cacheId="46"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chartFormat="7">
  <location ref="X36:Y3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27">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5375A1-ADE4-4E1D-B781-9AAC94A881E9}" name="PivotTable2" cacheId="22" applyNumberFormats="0" applyBorderFormats="0" applyFontFormats="0" applyPatternFormats="0" applyAlignmentFormats="0" applyWidthHeightFormats="1" dataCaption="Values" tag="dd0d8784-455a-42d9-8bb8-15b87d7041fd"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EC7136-6E19-43D6-A1AC-F5F1DF19104E}" name="PivotTable5" cacheId="28" applyNumberFormats="0" applyBorderFormats="0" applyFontFormats="0" applyPatternFormats="0" applyAlignmentFormats="0" applyWidthHeightFormats="1" dataCaption="Values" tag="7c1b5523-64e4-4e9a-8229-034970bdb50d" updatedVersion="8" minRefreshableVersion="3" subtotalHiddenItems="1" itemPrintTitles="1" createdVersion="5" indent="0" outline="1" outlineData="1" multipleFieldFilters="0" chartFormat="10">
  <location ref="M10:N377"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formats count="2">
    <format dxfId="30">
      <pivotArea outline="0" collapsedLevelsAreSubtotals="1" fieldPosition="0"/>
    </format>
    <format dxfId="29">
      <pivotArea collapsedLevelsAreSubtotals="1" fieldPosition="0">
        <references count="1">
          <reference field="0" count="1">
            <x v="0"/>
          </reference>
        </references>
      </pivotArea>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7F17E9-8B8B-4C81-8F7D-15D4E82E5720}" name="PivotTable8" cacheId="34" applyNumberFormats="0" applyBorderFormats="0" applyFontFormats="0" applyPatternFormats="0" applyAlignmentFormats="0" applyWidthHeightFormats="1" dataCaption="Values" tag="56e7d5a5-eaf3-425d-bd2f-2c56a14d8d92" updatedVersion="8" minRefreshableVersion="3" subtotalHiddenItems="1" itemPrintTitles="1" createdVersion="5" indent="0" outline="1" outlineData="1" multipleFieldFilters="0" chartFormat="4">
  <location ref="F1:G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 fld="1" subtotal="count" baseField="0" baseItem="0"/>
  </dataFields>
  <formats count="1">
    <format dxfId="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17EFE3D-1ABD-42EE-A6F0-2EA65B2F4EAC}"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 tabId="1" name="PivotTable14"/>
  </pivotTables>
  <data>
    <olap pivotCacheId="1120069182">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B144632-B6E8-4133-A853-C10123368A1D}" sourceName="[calender 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120069182">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5A029C7-8B36-4343-A643-AF942FD0D0E8}" cache="Slicer_Date__Month" caption="Date (Month)" level="1" rowHeight="234950"/>
  <slicer name="Date (Year)" xr10:uid="{0DE6FDD5-F4EF-4AD8-AF44-899E2530A759}"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8A9A931-1932-436A-B8E6-288083AE9DA6}" cache="Slicer_Date__Month" caption="Date (Month)" showCaption="0" level="1" style="Slicer Style 1" rowHeight="432000"/>
  <slicer name="Date (Year) 1" xr10:uid="{CBE14BCF-DB1B-459A-8F35-AE44A216222E}" cache="Slicer_Date__Year" caption="Date (Year)" showCaption="0" level="1" style="Slicer Style 1"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041D9-868E-4D9B-9118-8718B0617FF0}">
  <dimension ref="A1:AX377"/>
  <sheetViews>
    <sheetView topLeftCell="AN1" zoomScaleNormal="100" workbookViewId="0">
      <selection activeCell="AQ10" sqref="AQ10"/>
    </sheetView>
  </sheetViews>
  <sheetFormatPr defaultRowHeight="15.6" x14ac:dyDescent="0.3"/>
  <cols>
    <col min="1" max="1" width="18" bestFit="1" customWidth="1"/>
    <col min="2" max="2" width="14.09765625" bestFit="1" customWidth="1"/>
    <col min="3" max="3" width="9.8984375" bestFit="1" customWidth="1"/>
    <col min="6" max="6" width="25.09765625" customWidth="1"/>
    <col min="7" max="7" width="29.296875" customWidth="1"/>
    <col min="8" max="8" width="22.796875" customWidth="1"/>
    <col min="9" max="9" width="29.296875" customWidth="1"/>
    <col min="13" max="13" width="14.296875" bestFit="1" customWidth="1"/>
    <col min="14" max="14" width="26.796875" customWidth="1"/>
    <col min="19" max="19" width="14.296875" bestFit="1" customWidth="1"/>
    <col min="20" max="20" width="26.3984375" bestFit="1" customWidth="1"/>
    <col min="24" max="24" width="27.296875" customWidth="1"/>
    <col min="25" max="25" width="18.296875" customWidth="1"/>
    <col min="37" max="37" width="18" customWidth="1"/>
    <col min="38" max="38" width="29.59765625" customWidth="1"/>
    <col min="41" max="41" width="22.09765625" customWidth="1"/>
    <col min="42" max="42" width="19" customWidth="1"/>
    <col min="44" max="44" width="18.796875" customWidth="1"/>
    <col min="45" max="45" width="18.59765625" customWidth="1"/>
    <col min="46" max="46" width="11.5" customWidth="1"/>
    <col min="47" max="47" width="17.09765625" customWidth="1"/>
  </cols>
  <sheetData>
    <row r="1" spans="1:50" x14ac:dyDescent="0.3">
      <c r="A1" t="s">
        <v>1</v>
      </c>
      <c r="F1" s="1" t="s">
        <v>4</v>
      </c>
      <c r="G1" t="s">
        <v>44</v>
      </c>
      <c r="H1" s="1" t="s">
        <v>4</v>
      </c>
      <c r="I1" t="s">
        <v>44</v>
      </c>
    </row>
    <row r="2" spans="1:50" x14ac:dyDescent="0.3">
      <c r="A2" s="16">
        <v>9216</v>
      </c>
      <c r="F2" s="4" t="s">
        <v>42</v>
      </c>
      <c r="G2" s="2">
        <v>4612</v>
      </c>
      <c r="H2" s="4" t="s">
        <v>42</v>
      </c>
      <c r="I2" s="6">
        <v>0.50043402777777779</v>
      </c>
      <c r="X2" s="1" t="s">
        <v>4</v>
      </c>
      <c r="Y2" t="s">
        <v>53</v>
      </c>
    </row>
    <row r="3" spans="1:50" x14ac:dyDescent="0.3">
      <c r="F3" s="4" t="s">
        <v>43</v>
      </c>
      <c r="G3" s="2">
        <v>4604</v>
      </c>
      <c r="H3" s="4" t="s">
        <v>43</v>
      </c>
      <c r="I3" s="6">
        <v>0.49956597222222221</v>
      </c>
      <c r="X3" s="4" t="s">
        <v>45</v>
      </c>
      <c r="Y3" s="5">
        <v>1176</v>
      </c>
    </row>
    <row r="4" spans="1:50" x14ac:dyDescent="0.3">
      <c r="F4" s="4" t="s">
        <v>5</v>
      </c>
      <c r="G4" s="2">
        <v>9216</v>
      </c>
      <c r="H4" s="4" t="s">
        <v>5</v>
      </c>
      <c r="I4" s="6">
        <v>1</v>
      </c>
      <c r="X4" s="4" t="s">
        <v>46</v>
      </c>
      <c r="Y4" s="5">
        <v>1160</v>
      </c>
    </row>
    <row r="5" spans="1:50" x14ac:dyDescent="0.3">
      <c r="X5" s="4" t="s">
        <v>47</v>
      </c>
      <c r="Y5" s="5">
        <v>1207</v>
      </c>
      <c r="AK5" s="1" t="s">
        <v>4</v>
      </c>
      <c r="AL5" t="s">
        <v>66</v>
      </c>
      <c r="AO5" s="1" t="s">
        <v>4</v>
      </c>
    </row>
    <row r="6" spans="1:50" x14ac:dyDescent="0.3">
      <c r="X6" s="4" t="s">
        <v>48</v>
      </c>
      <c r="Y6" s="5">
        <v>1191</v>
      </c>
      <c r="AK6" s="4" t="s">
        <v>65</v>
      </c>
      <c r="AL6" s="5">
        <v>86</v>
      </c>
      <c r="AO6" s="4" t="s">
        <v>67</v>
      </c>
    </row>
    <row r="7" spans="1:50" x14ac:dyDescent="0.3">
      <c r="X7" s="4" t="s">
        <v>49</v>
      </c>
      <c r="Y7" s="5">
        <v>1137</v>
      </c>
      <c r="AK7" s="4" t="s">
        <v>59</v>
      </c>
      <c r="AL7" s="5">
        <v>178</v>
      </c>
      <c r="AO7" s="4" t="s">
        <v>68</v>
      </c>
    </row>
    <row r="8" spans="1:50" x14ac:dyDescent="0.3">
      <c r="X8" s="4" t="s">
        <v>50</v>
      </c>
      <c r="Y8" s="5">
        <v>1147</v>
      </c>
      <c r="AK8" s="4" t="s">
        <v>61</v>
      </c>
      <c r="AL8" s="5">
        <v>193</v>
      </c>
      <c r="AO8" s="4" t="s">
        <v>5</v>
      </c>
    </row>
    <row r="9" spans="1:50" x14ac:dyDescent="0.3">
      <c r="F9" t="s">
        <v>37</v>
      </c>
      <c r="M9" t="s">
        <v>38</v>
      </c>
      <c r="S9" t="s">
        <v>39</v>
      </c>
      <c r="X9" s="4" t="s">
        <v>51</v>
      </c>
      <c r="Y9" s="5">
        <v>1150</v>
      </c>
      <c r="AK9" s="4" t="s">
        <v>58</v>
      </c>
      <c r="AL9" s="5">
        <v>248</v>
      </c>
    </row>
    <row r="10" spans="1:50" x14ac:dyDescent="0.3">
      <c r="A10" t="s">
        <v>2</v>
      </c>
      <c r="F10" s="1" t="s">
        <v>4</v>
      </c>
      <c r="G10" t="s">
        <v>0</v>
      </c>
      <c r="M10" s="1" t="s">
        <v>4</v>
      </c>
      <c r="N10" t="s">
        <v>2</v>
      </c>
      <c r="S10" s="1" t="s">
        <v>4</v>
      </c>
      <c r="T10" t="s">
        <v>3</v>
      </c>
      <c r="X10" s="4" t="s">
        <v>52</v>
      </c>
      <c r="Y10" s="5">
        <v>1048</v>
      </c>
      <c r="AK10" s="4" t="s">
        <v>64</v>
      </c>
      <c r="AL10" s="5">
        <v>276</v>
      </c>
    </row>
    <row r="11" spans="1:50" x14ac:dyDescent="0.3">
      <c r="A11" s="2">
        <v>35.259874131944443</v>
      </c>
      <c r="F11" s="4" t="s">
        <v>6</v>
      </c>
      <c r="G11" s="2">
        <v>19</v>
      </c>
      <c r="M11" s="4" t="s">
        <v>6</v>
      </c>
      <c r="N11" s="2">
        <v>37.789473684210527</v>
      </c>
      <c r="S11" s="4" t="s">
        <v>6</v>
      </c>
      <c r="T11" s="2">
        <v>6.666666666666667</v>
      </c>
      <c r="X11" s="4" t="s">
        <v>5</v>
      </c>
      <c r="Y11" s="5">
        <v>9216</v>
      </c>
      <c r="AK11" s="4" t="s">
        <v>63</v>
      </c>
      <c r="AL11" s="5">
        <v>995</v>
      </c>
    </row>
    <row r="12" spans="1:50" x14ac:dyDescent="0.3">
      <c r="F12" s="4" t="s">
        <v>7</v>
      </c>
      <c r="G12" s="2">
        <v>14</v>
      </c>
      <c r="M12" s="4" t="s">
        <v>7</v>
      </c>
      <c r="N12" s="2">
        <v>38.214285714285715</v>
      </c>
      <c r="S12" s="4" t="s">
        <v>7</v>
      </c>
      <c r="T12" s="2">
        <v>3.5</v>
      </c>
      <c r="AK12" s="4" t="s">
        <v>60</v>
      </c>
      <c r="AL12" s="5">
        <v>1840</v>
      </c>
    </row>
    <row r="13" spans="1:50" x14ac:dyDescent="0.3">
      <c r="F13" s="4" t="s">
        <v>8</v>
      </c>
      <c r="G13" s="2">
        <v>13</v>
      </c>
      <c r="M13" s="4" t="s">
        <v>8</v>
      </c>
      <c r="N13" s="2">
        <v>40.92307692307692</v>
      </c>
      <c r="S13" s="4" t="s">
        <v>8</v>
      </c>
      <c r="T13" s="2">
        <v>4.5</v>
      </c>
      <c r="AK13" s="4" t="s">
        <v>62</v>
      </c>
      <c r="AL13" s="5">
        <v>5400</v>
      </c>
    </row>
    <row r="14" spans="1:50" x14ac:dyDescent="0.3">
      <c r="F14" s="4" t="s">
        <v>9</v>
      </c>
      <c r="G14" s="2">
        <v>22</v>
      </c>
      <c r="M14" s="4" t="s">
        <v>9</v>
      </c>
      <c r="N14" s="2">
        <v>34.5</v>
      </c>
      <c r="S14" s="4" t="s">
        <v>9</v>
      </c>
      <c r="T14" s="2">
        <v>4.8</v>
      </c>
      <c r="AK14" s="4" t="s">
        <v>5</v>
      </c>
      <c r="AL14" s="5">
        <v>9216</v>
      </c>
    </row>
    <row r="15" spans="1:50" ht="16.2" customHeight="1" x14ac:dyDescent="0.3">
      <c r="F15" s="4" t="s">
        <v>10</v>
      </c>
      <c r="G15" s="2">
        <v>19</v>
      </c>
      <c r="M15" s="4" t="s">
        <v>10</v>
      </c>
      <c r="N15" s="2">
        <v>30.684210526315791</v>
      </c>
      <c r="S15" s="4" t="s">
        <v>10</v>
      </c>
      <c r="T15" s="2">
        <v>7.75</v>
      </c>
      <c r="AR15" s="8"/>
      <c r="AS15" s="8"/>
      <c r="AT15" s="8"/>
      <c r="AU15" s="7"/>
      <c r="AV15" s="7"/>
      <c r="AW15" s="7"/>
      <c r="AX15" s="7"/>
    </row>
    <row r="16" spans="1:50" ht="16.2" customHeight="1" x14ac:dyDescent="0.3">
      <c r="A16" t="s">
        <v>3</v>
      </c>
      <c r="F16" s="4" t="s">
        <v>11</v>
      </c>
      <c r="G16" s="2">
        <v>15</v>
      </c>
      <c r="M16" s="4" t="s">
        <v>11</v>
      </c>
      <c r="N16" s="2">
        <v>37.666666666666664</v>
      </c>
      <c r="S16" s="4" t="s">
        <v>11</v>
      </c>
      <c r="T16" s="2">
        <v>6.2</v>
      </c>
      <c r="AR16" s="9"/>
      <c r="AS16" s="9"/>
      <c r="AT16" s="10"/>
    </row>
    <row r="17" spans="1:46" ht="17.399999999999999" customHeight="1" x14ac:dyDescent="0.3">
      <c r="A17" s="2">
        <v>4.9920540325784666</v>
      </c>
      <c r="F17" s="4" t="s">
        <v>12</v>
      </c>
      <c r="G17" s="2">
        <v>12</v>
      </c>
      <c r="M17" s="4" t="s">
        <v>12</v>
      </c>
      <c r="N17" s="2">
        <v>36.083333333333336</v>
      </c>
      <c r="S17" s="4" t="s">
        <v>12</v>
      </c>
      <c r="T17" s="2">
        <v>3.75</v>
      </c>
      <c r="AR17" s="9"/>
      <c r="AS17" s="9"/>
      <c r="AT17" s="10"/>
    </row>
    <row r="18" spans="1:46" x14ac:dyDescent="0.3">
      <c r="F18" s="4" t="s">
        <v>13</v>
      </c>
      <c r="G18" s="2">
        <v>21</v>
      </c>
      <c r="M18" s="4" t="s">
        <v>13</v>
      </c>
      <c r="N18" s="2">
        <v>43.523809523809526</v>
      </c>
      <c r="S18" s="4" t="s">
        <v>13</v>
      </c>
      <c r="T18" s="2">
        <v>6.5</v>
      </c>
    </row>
    <row r="19" spans="1:46" x14ac:dyDescent="0.3">
      <c r="F19" s="4" t="s">
        <v>14</v>
      </c>
      <c r="G19" s="2">
        <v>12</v>
      </c>
      <c r="M19" s="4" t="s">
        <v>14</v>
      </c>
      <c r="N19" s="2">
        <v>29.5</v>
      </c>
      <c r="S19" s="4" t="s">
        <v>14</v>
      </c>
      <c r="T19" s="2">
        <v>3</v>
      </c>
    </row>
    <row r="20" spans="1:46" x14ac:dyDescent="0.3">
      <c r="F20" s="4" t="s">
        <v>15</v>
      </c>
      <c r="G20" s="2">
        <v>13</v>
      </c>
      <c r="M20" s="4" t="s">
        <v>15</v>
      </c>
      <c r="N20" s="2">
        <v>38.07692307692308</v>
      </c>
      <c r="S20" s="4" t="s">
        <v>15</v>
      </c>
      <c r="T20" s="2">
        <v>4.5</v>
      </c>
      <c r="X20" s="1" t="s">
        <v>4</v>
      </c>
      <c r="Y20" t="s">
        <v>54</v>
      </c>
    </row>
    <row r="21" spans="1:46" x14ac:dyDescent="0.3">
      <c r="F21" s="4" t="s">
        <v>16</v>
      </c>
      <c r="G21" s="2">
        <v>13</v>
      </c>
      <c r="M21" s="4" t="s">
        <v>16</v>
      </c>
      <c r="N21" s="2">
        <v>35.846153846153847</v>
      </c>
      <c r="S21" s="4" t="s">
        <v>16</v>
      </c>
      <c r="T21" s="2">
        <v>6</v>
      </c>
      <c r="X21" s="4" t="s">
        <v>40</v>
      </c>
      <c r="Y21" s="5">
        <v>5467</v>
      </c>
    </row>
    <row r="22" spans="1:46" x14ac:dyDescent="0.3">
      <c r="F22" s="4" t="s">
        <v>17</v>
      </c>
      <c r="G22" s="2">
        <v>16</v>
      </c>
      <c r="M22" s="4" t="s">
        <v>17</v>
      </c>
      <c r="N22" s="2">
        <v>32.625</v>
      </c>
      <c r="S22" s="4" t="s">
        <v>17</v>
      </c>
      <c r="T22" s="2">
        <v>5.2</v>
      </c>
      <c r="X22" s="4" t="s">
        <v>41</v>
      </c>
      <c r="Y22" s="5">
        <v>3749</v>
      </c>
    </row>
    <row r="23" spans="1:46" x14ac:dyDescent="0.3">
      <c r="F23" s="4" t="s">
        <v>18</v>
      </c>
      <c r="G23" s="2">
        <v>20</v>
      </c>
      <c r="M23" s="4" t="s">
        <v>18</v>
      </c>
      <c r="N23" s="2">
        <v>39.200000000000003</v>
      </c>
      <c r="S23" s="4" t="s">
        <v>18</v>
      </c>
      <c r="T23" s="2">
        <v>4.4000000000000004</v>
      </c>
      <c r="X23" s="4" t="s">
        <v>5</v>
      </c>
      <c r="Y23" s="5">
        <v>9216</v>
      </c>
    </row>
    <row r="24" spans="1:46" x14ac:dyDescent="0.3">
      <c r="F24" s="4" t="s">
        <v>19</v>
      </c>
      <c r="G24" s="2">
        <v>25</v>
      </c>
      <c r="M24" s="4" t="s">
        <v>19</v>
      </c>
      <c r="N24" s="2">
        <v>35.28</v>
      </c>
      <c r="S24" s="4" t="s">
        <v>19</v>
      </c>
      <c r="T24" s="2">
        <v>3.4545454545454546</v>
      </c>
    </row>
    <row r="25" spans="1:46" x14ac:dyDescent="0.3">
      <c r="F25" s="4" t="s">
        <v>20</v>
      </c>
      <c r="G25" s="2">
        <v>20</v>
      </c>
      <c r="M25" s="4" t="s">
        <v>20</v>
      </c>
      <c r="N25" s="2">
        <v>32.549999999999997</v>
      </c>
      <c r="S25" s="4" t="s">
        <v>20</v>
      </c>
      <c r="T25" s="2">
        <v>4.4000000000000004</v>
      </c>
    </row>
    <row r="26" spans="1:46" x14ac:dyDescent="0.3">
      <c r="F26" s="4" t="s">
        <v>21</v>
      </c>
      <c r="G26" s="2">
        <v>14</v>
      </c>
      <c r="M26" s="4" t="s">
        <v>21</v>
      </c>
      <c r="N26" s="2">
        <v>35.642857142857146</v>
      </c>
      <c r="S26" s="4" t="s">
        <v>21</v>
      </c>
      <c r="T26" s="2">
        <v>5.833333333333333</v>
      </c>
    </row>
    <row r="27" spans="1:46" x14ac:dyDescent="0.3">
      <c r="F27" s="4" t="s">
        <v>22</v>
      </c>
      <c r="G27" s="2">
        <v>17</v>
      </c>
      <c r="M27" s="4" t="s">
        <v>22</v>
      </c>
      <c r="N27" s="2">
        <v>38.764705882352942</v>
      </c>
      <c r="S27" s="4" t="s">
        <v>22</v>
      </c>
      <c r="T27" s="2">
        <v>4.4444444444444446</v>
      </c>
    </row>
    <row r="28" spans="1:46" x14ac:dyDescent="0.3">
      <c r="F28" s="4" t="s">
        <v>23</v>
      </c>
      <c r="G28" s="2">
        <v>20</v>
      </c>
      <c r="M28" s="4" t="s">
        <v>23</v>
      </c>
      <c r="N28" s="2">
        <v>39.9</v>
      </c>
      <c r="S28" s="4" t="s">
        <v>23</v>
      </c>
      <c r="T28" s="2">
        <v>5.333333333333333</v>
      </c>
    </row>
    <row r="29" spans="1:46" x14ac:dyDescent="0.3">
      <c r="F29" s="4" t="s">
        <v>24</v>
      </c>
      <c r="G29" s="2">
        <v>10</v>
      </c>
      <c r="M29" s="4" t="s">
        <v>24</v>
      </c>
      <c r="N29" s="2">
        <v>41.6</v>
      </c>
      <c r="S29" s="4" t="s">
        <v>24</v>
      </c>
      <c r="T29" s="2">
        <v>5.333333333333333</v>
      </c>
    </row>
    <row r="30" spans="1:46" x14ac:dyDescent="0.3">
      <c r="F30" s="4" t="s">
        <v>25</v>
      </c>
      <c r="G30" s="2">
        <v>17</v>
      </c>
      <c r="M30" s="4" t="s">
        <v>25</v>
      </c>
      <c r="N30" s="2">
        <v>39.470588235294116</v>
      </c>
      <c r="S30" s="4" t="s">
        <v>25</v>
      </c>
      <c r="T30" s="2">
        <v>5.5714285714285712</v>
      </c>
    </row>
    <row r="31" spans="1:46" x14ac:dyDescent="0.3">
      <c r="F31" s="4" t="s">
        <v>26</v>
      </c>
      <c r="G31" s="2">
        <v>15</v>
      </c>
      <c r="M31" s="4" t="s">
        <v>26</v>
      </c>
      <c r="N31" s="2">
        <v>27.733333333333334</v>
      </c>
      <c r="S31" s="4" t="s">
        <v>26</v>
      </c>
      <c r="T31" s="2">
        <v>5</v>
      </c>
    </row>
    <row r="32" spans="1:46" x14ac:dyDescent="0.3">
      <c r="F32" s="4" t="s">
        <v>27</v>
      </c>
      <c r="G32" s="2">
        <v>16</v>
      </c>
      <c r="M32" s="4" t="s">
        <v>27</v>
      </c>
      <c r="N32" s="2">
        <v>36.875</v>
      </c>
      <c r="S32" s="4" t="s">
        <v>27</v>
      </c>
      <c r="T32" s="2">
        <v>6.4</v>
      </c>
    </row>
    <row r="33" spans="1:25" x14ac:dyDescent="0.3">
      <c r="F33" s="4" t="s">
        <v>28</v>
      </c>
      <c r="G33" s="2">
        <v>18</v>
      </c>
      <c r="M33" s="4" t="s">
        <v>28</v>
      </c>
      <c r="N33" s="2">
        <v>40.333333333333336</v>
      </c>
      <c r="S33" s="4" t="s">
        <v>28</v>
      </c>
      <c r="T33" s="2">
        <v>5.333333333333333</v>
      </c>
    </row>
    <row r="34" spans="1:25" x14ac:dyDescent="0.3">
      <c r="F34" s="4" t="s">
        <v>29</v>
      </c>
      <c r="G34" s="2">
        <v>16</v>
      </c>
      <c r="M34" s="4" t="s">
        <v>29</v>
      </c>
      <c r="N34" s="2">
        <v>36.5</v>
      </c>
      <c r="S34" s="4" t="s">
        <v>29</v>
      </c>
      <c r="T34" s="2">
        <v>3.75</v>
      </c>
    </row>
    <row r="35" spans="1:25" x14ac:dyDescent="0.3">
      <c r="F35" s="4" t="s">
        <v>30</v>
      </c>
      <c r="G35" s="2">
        <v>15</v>
      </c>
      <c r="M35" s="4" t="s">
        <v>30</v>
      </c>
      <c r="N35" s="2">
        <v>32.866666666666667</v>
      </c>
      <c r="S35" s="4" t="s">
        <v>30</v>
      </c>
      <c r="T35" s="2">
        <v>6.333333333333333</v>
      </c>
    </row>
    <row r="36" spans="1:25" x14ac:dyDescent="0.3">
      <c r="F36" s="4" t="s">
        <v>31</v>
      </c>
      <c r="G36" s="2">
        <v>14</v>
      </c>
      <c r="M36" s="4" t="s">
        <v>31</v>
      </c>
      <c r="N36" s="2">
        <v>36.642857142857146</v>
      </c>
      <c r="S36" s="4" t="s">
        <v>31</v>
      </c>
      <c r="T36" s="2">
        <v>10</v>
      </c>
      <c r="X36" s="1" t="s">
        <v>4</v>
      </c>
      <c r="Y36" t="s">
        <v>57</v>
      </c>
    </row>
    <row r="37" spans="1:25" x14ac:dyDescent="0.3">
      <c r="F37" s="4" t="s">
        <v>32</v>
      </c>
      <c r="G37" s="2">
        <v>16</v>
      </c>
      <c r="M37" s="4" t="s">
        <v>32</v>
      </c>
      <c r="N37" s="2">
        <v>36.5625</v>
      </c>
      <c r="S37" s="4" t="s">
        <v>32</v>
      </c>
      <c r="T37" s="2">
        <v>5</v>
      </c>
      <c r="X37" s="4" t="s">
        <v>55</v>
      </c>
      <c r="Y37" s="5">
        <v>4487</v>
      </c>
    </row>
    <row r="38" spans="1:25" x14ac:dyDescent="0.3">
      <c r="F38" s="4" t="s">
        <v>33</v>
      </c>
      <c r="G38" s="2">
        <v>20</v>
      </c>
      <c r="M38" s="4" t="s">
        <v>33</v>
      </c>
      <c r="N38" s="2">
        <v>32.15</v>
      </c>
      <c r="S38" s="4" t="s">
        <v>33</v>
      </c>
      <c r="T38" s="2">
        <v>5.333333333333333</v>
      </c>
      <c r="X38" s="4" t="s">
        <v>56</v>
      </c>
      <c r="Y38" s="5">
        <v>4729</v>
      </c>
    </row>
    <row r="39" spans="1:25" x14ac:dyDescent="0.3">
      <c r="F39" s="4" t="s">
        <v>34</v>
      </c>
      <c r="G39" s="2">
        <v>19</v>
      </c>
      <c r="M39" s="4" t="s">
        <v>34</v>
      </c>
      <c r="N39" s="2">
        <v>38.368421052631582</v>
      </c>
      <c r="S39" s="4" t="s">
        <v>34</v>
      </c>
      <c r="T39" s="2">
        <v>4.8</v>
      </c>
      <c r="X39" s="4" t="s">
        <v>5</v>
      </c>
      <c r="Y39" s="5">
        <v>9216</v>
      </c>
    </row>
    <row r="40" spans="1:25" x14ac:dyDescent="0.3">
      <c r="F40" s="4" t="s">
        <v>35</v>
      </c>
      <c r="G40" s="2">
        <v>14</v>
      </c>
      <c r="M40" s="4" t="s">
        <v>35</v>
      </c>
      <c r="N40" s="2">
        <v>33.071428571428569</v>
      </c>
      <c r="S40" s="4" t="s">
        <v>35</v>
      </c>
      <c r="T40" s="2">
        <v>5</v>
      </c>
    </row>
    <row r="41" spans="1:25" x14ac:dyDescent="0.3">
      <c r="F41" s="4" t="s">
        <v>36</v>
      </c>
      <c r="G41" s="2">
        <v>18</v>
      </c>
      <c r="M41" s="4" t="s">
        <v>36</v>
      </c>
      <c r="N41" s="2">
        <v>36.444444444444443</v>
      </c>
      <c r="S41" s="4" t="s">
        <v>36</v>
      </c>
      <c r="T41" s="2">
        <v>1.4</v>
      </c>
    </row>
    <row r="42" spans="1:25" x14ac:dyDescent="0.3">
      <c r="F42" s="4" t="s">
        <v>72</v>
      </c>
      <c r="G42" s="2">
        <v>13</v>
      </c>
      <c r="M42" s="4" t="s">
        <v>72</v>
      </c>
      <c r="N42" s="2">
        <v>35.692307692307693</v>
      </c>
      <c r="S42" s="4" t="s">
        <v>72</v>
      </c>
      <c r="T42" s="2">
        <v>4.166666666666667</v>
      </c>
    </row>
    <row r="43" spans="1:25" x14ac:dyDescent="0.3">
      <c r="F43" s="4" t="s">
        <v>73</v>
      </c>
      <c r="G43" s="2">
        <v>10</v>
      </c>
      <c r="M43" s="4" t="s">
        <v>73</v>
      </c>
      <c r="N43" s="2">
        <v>45.4</v>
      </c>
      <c r="S43" s="4" t="s">
        <v>73</v>
      </c>
      <c r="T43" s="2">
        <v>5.75</v>
      </c>
    </row>
    <row r="44" spans="1:25" x14ac:dyDescent="0.3">
      <c r="F44" s="4" t="s">
        <v>74</v>
      </c>
      <c r="G44" s="2">
        <v>8</v>
      </c>
      <c r="M44" s="4" t="s">
        <v>74</v>
      </c>
      <c r="N44" s="2">
        <v>29.375</v>
      </c>
      <c r="S44" s="4" t="s">
        <v>74</v>
      </c>
      <c r="T44" s="2">
        <v>4.75</v>
      </c>
    </row>
    <row r="45" spans="1:25" x14ac:dyDescent="0.3">
      <c r="F45" s="4" t="s">
        <v>75</v>
      </c>
      <c r="G45" s="2">
        <v>12</v>
      </c>
      <c r="M45" s="4" t="s">
        <v>75</v>
      </c>
      <c r="N45" s="2">
        <v>34.583333333333336</v>
      </c>
      <c r="S45" s="4" t="s">
        <v>75</v>
      </c>
      <c r="T45" s="2">
        <v>7</v>
      </c>
    </row>
    <row r="46" spans="1:25" x14ac:dyDescent="0.3">
      <c r="F46" s="4" t="s">
        <v>76</v>
      </c>
      <c r="G46" s="2">
        <v>19</v>
      </c>
      <c r="M46" s="4" t="s">
        <v>76</v>
      </c>
      <c r="N46" s="2">
        <v>38.684210526315788</v>
      </c>
      <c r="S46" s="4" t="s">
        <v>76</v>
      </c>
      <c r="T46" s="2">
        <v>3.1428571428571428</v>
      </c>
    </row>
    <row r="47" spans="1:25" ht="34.200000000000003" customHeight="1" x14ac:dyDescent="0.3">
      <c r="A47" s="12" t="s">
        <v>69</v>
      </c>
      <c r="B47" s="12" t="s">
        <v>71</v>
      </c>
      <c r="C47" s="12" t="s">
        <v>70</v>
      </c>
      <c r="D47" s="11"/>
      <c r="E47" s="11"/>
      <c r="F47" s="4" t="s">
        <v>77</v>
      </c>
      <c r="G47" s="2">
        <v>9</v>
      </c>
      <c r="M47" s="4" t="s">
        <v>77</v>
      </c>
      <c r="N47" s="2">
        <v>34.777777777777779</v>
      </c>
      <c r="S47" s="4" t="s">
        <v>77</v>
      </c>
      <c r="T47" s="2">
        <v>8</v>
      </c>
    </row>
    <row r="48" spans="1:25" ht="31.8" customHeight="1" x14ac:dyDescent="0.3">
      <c r="A48" s="13" t="str">
        <f>F3</f>
        <v>Not Admitted</v>
      </c>
      <c r="B48" s="14">
        <f>G3</f>
        <v>4604</v>
      </c>
      <c r="C48" s="15">
        <f>I3</f>
        <v>0.49956597222222221</v>
      </c>
      <c r="F48" s="4" t="s">
        <v>78</v>
      </c>
      <c r="G48" s="2">
        <v>13</v>
      </c>
      <c r="M48" s="4" t="s">
        <v>78</v>
      </c>
      <c r="N48" s="2">
        <v>37.307692307692307</v>
      </c>
      <c r="S48" s="4" t="s">
        <v>78</v>
      </c>
      <c r="T48" s="2">
        <v>5.25</v>
      </c>
    </row>
    <row r="49" spans="1:20" ht="49.8" customHeight="1" x14ac:dyDescent="0.3">
      <c r="A49" s="13" t="str">
        <f>F2</f>
        <v>Admitted</v>
      </c>
      <c r="B49" s="14">
        <f>G2</f>
        <v>4612</v>
      </c>
      <c r="C49" s="15">
        <f>I2</f>
        <v>0.50043402777777779</v>
      </c>
      <c r="F49" s="4" t="s">
        <v>79</v>
      </c>
      <c r="G49" s="2">
        <v>19</v>
      </c>
      <c r="M49" s="4" t="s">
        <v>79</v>
      </c>
      <c r="N49" s="2">
        <v>35.631578947368418</v>
      </c>
      <c r="S49" s="4" t="s">
        <v>79</v>
      </c>
      <c r="T49" s="2">
        <v>4.5714285714285712</v>
      </c>
    </row>
    <row r="50" spans="1:20" ht="23.4" customHeight="1" x14ac:dyDescent="0.3">
      <c r="F50" s="4" t="s">
        <v>80</v>
      </c>
      <c r="G50" s="2">
        <v>10</v>
      </c>
      <c r="M50" s="4" t="s">
        <v>80</v>
      </c>
      <c r="N50" s="2">
        <v>36.6</v>
      </c>
      <c r="S50" s="4" t="s">
        <v>80</v>
      </c>
      <c r="T50" s="2">
        <v>2.75</v>
      </c>
    </row>
    <row r="51" spans="1:20" x14ac:dyDescent="0.3">
      <c r="F51" s="4" t="s">
        <v>81</v>
      </c>
      <c r="G51" s="2">
        <v>20</v>
      </c>
      <c r="M51" s="4" t="s">
        <v>81</v>
      </c>
      <c r="N51" s="2">
        <v>39.700000000000003</v>
      </c>
      <c r="S51" s="4" t="s">
        <v>81</v>
      </c>
      <c r="T51" s="2">
        <v>4.5</v>
      </c>
    </row>
    <row r="52" spans="1:20" x14ac:dyDescent="0.3">
      <c r="F52" s="4" t="s">
        <v>82</v>
      </c>
      <c r="G52" s="2">
        <v>15</v>
      </c>
      <c r="M52" s="4" t="s">
        <v>82</v>
      </c>
      <c r="N52" s="2">
        <v>37.4</v>
      </c>
      <c r="S52" s="4" t="s">
        <v>82</v>
      </c>
      <c r="T52" s="2">
        <v>5.5</v>
      </c>
    </row>
    <row r="53" spans="1:20" x14ac:dyDescent="0.3">
      <c r="F53" s="4" t="s">
        <v>83</v>
      </c>
      <c r="G53" s="2">
        <v>13</v>
      </c>
      <c r="M53" s="4" t="s">
        <v>83</v>
      </c>
      <c r="N53" s="2">
        <v>27.76923076923077</v>
      </c>
      <c r="S53" s="4" t="s">
        <v>83</v>
      </c>
      <c r="T53" s="2">
        <v>5.6</v>
      </c>
    </row>
    <row r="54" spans="1:20" x14ac:dyDescent="0.3">
      <c r="F54" s="4" t="s">
        <v>84</v>
      </c>
      <c r="G54" s="2">
        <v>9</v>
      </c>
      <c r="M54" s="4" t="s">
        <v>84</v>
      </c>
      <c r="N54" s="2">
        <v>38.777777777777779</v>
      </c>
      <c r="S54" s="4" t="s">
        <v>84</v>
      </c>
      <c r="T54" s="2">
        <v>5.75</v>
      </c>
    </row>
    <row r="55" spans="1:20" x14ac:dyDescent="0.3">
      <c r="F55" s="4" t="s">
        <v>85</v>
      </c>
      <c r="G55" s="2">
        <v>19</v>
      </c>
      <c r="M55" s="4" t="s">
        <v>85</v>
      </c>
      <c r="N55" s="2">
        <v>31</v>
      </c>
      <c r="S55" s="4" t="s">
        <v>85</v>
      </c>
      <c r="T55" s="2">
        <v>3.4444444444444446</v>
      </c>
    </row>
    <row r="56" spans="1:20" x14ac:dyDescent="0.3">
      <c r="F56" s="4" t="s">
        <v>86</v>
      </c>
      <c r="G56" s="2">
        <v>14</v>
      </c>
      <c r="M56" s="4" t="s">
        <v>86</v>
      </c>
      <c r="N56" s="2">
        <v>35.928571428571431</v>
      </c>
      <c r="S56" s="4" t="s">
        <v>86</v>
      </c>
      <c r="T56" s="2">
        <v>1.5</v>
      </c>
    </row>
    <row r="57" spans="1:20" x14ac:dyDescent="0.3">
      <c r="F57" s="4" t="s">
        <v>87</v>
      </c>
      <c r="G57" s="2">
        <v>17</v>
      </c>
      <c r="M57" s="4" t="s">
        <v>87</v>
      </c>
      <c r="N57" s="2">
        <v>37.882352941176471</v>
      </c>
      <c r="S57" s="4" t="s">
        <v>87</v>
      </c>
      <c r="T57" s="2">
        <v>3.6666666666666665</v>
      </c>
    </row>
    <row r="58" spans="1:20" x14ac:dyDescent="0.3">
      <c r="F58" s="4" t="s">
        <v>88</v>
      </c>
      <c r="G58" s="2">
        <v>17</v>
      </c>
      <c r="M58" s="4" t="s">
        <v>88</v>
      </c>
      <c r="N58" s="2">
        <v>40.588235294117645</v>
      </c>
      <c r="S58" s="4" t="s">
        <v>88</v>
      </c>
      <c r="T58" s="2">
        <v>4.4285714285714288</v>
      </c>
    </row>
    <row r="59" spans="1:20" x14ac:dyDescent="0.3">
      <c r="F59" s="4" t="s">
        <v>89</v>
      </c>
      <c r="G59" s="2">
        <v>15</v>
      </c>
      <c r="M59" s="4" t="s">
        <v>89</v>
      </c>
      <c r="N59" s="2">
        <v>34.533333333333331</v>
      </c>
      <c r="S59" s="4" t="s">
        <v>89</v>
      </c>
      <c r="T59" s="2">
        <v>6</v>
      </c>
    </row>
    <row r="60" spans="1:20" x14ac:dyDescent="0.3">
      <c r="F60" s="4" t="s">
        <v>90</v>
      </c>
      <c r="G60" s="2">
        <v>9</v>
      </c>
      <c r="M60" s="4" t="s">
        <v>90</v>
      </c>
      <c r="N60" s="2">
        <v>40.333333333333336</v>
      </c>
      <c r="S60" s="4" t="s">
        <v>90</v>
      </c>
      <c r="T60" s="2">
        <v>2.6666666666666665</v>
      </c>
    </row>
    <row r="61" spans="1:20" x14ac:dyDescent="0.3">
      <c r="F61" s="4" t="s">
        <v>91</v>
      </c>
      <c r="G61" s="2">
        <v>14</v>
      </c>
      <c r="M61" s="4" t="s">
        <v>91</v>
      </c>
      <c r="N61" s="2">
        <v>35.285714285714285</v>
      </c>
      <c r="S61" s="4" t="s">
        <v>91</v>
      </c>
      <c r="T61" s="2">
        <v>7.5</v>
      </c>
    </row>
    <row r="62" spans="1:20" x14ac:dyDescent="0.3">
      <c r="F62" s="4" t="s">
        <v>92</v>
      </c>
      <c r="G62" s="2">
        <v>22</v>
      </c>
      <c r="M62" s="4" t="s">
        <v>92</v>
      </c>
      <c r="N62" s="2">
        <v>35.5</v>
      </c>
      <c r="S62" s="4" t="s">
        <v>92</v>
      </c>
      <c r="T62" s="2">
        <v>4.5</v>
      </c>
    </row>
    <row r="63" spans="1:20" x14ac:dyDescent="0.3">
      <c r="F63" s="4" t="s">
        <v>93</v>
      </c>
      <c r="G63" s="2">
        <v>16</v>
      </c>
      <c r="M63" s="4" t="s">
        <v>93</v>
      </c>
      <c r="N63" s="2">
        <v>38.5625</v>
      </c>
      <c r="S63" s="4" t="s">
        <v>93</v>
      </c>
      <c r="T63" s="2">
        <v>8</v>
      </c>
    </row>
    <row r="64" spans="1:20" x14ac:dyDescent="0.3">
      <c r="F64" s="4" t="s">
        <v>94</v>
      </c>
      <c r="G64" s="2">
        <v>22</v>
      </c>
      <c r="M64" s="4" t="s">
        <v>94</v>
      </c>
      <c r="N64" s="2">
        <v>42.727272727272727</v>
      </c>
      <c r="S64" s="4" t="s">
        <v>94</v>
      </c>
      <c r="T64" s="2">
        <v>4.3636363636363633</v>
      </c>
    </row>
    <row r="65" spans="6:20" x14ac:dyDescent="0.3">
      <c r="F65" s="4" t="s">
        <v>95</v>
      </c>
      <c r="G65" s="2">
        <v>12</v>
      </c>
      <c r="M65" s="4" t="s">
        <v>95</v>
      </c>
      <c r="N65" s="2">
        <v>37.416666666666664</v>
      </c>
      <c r="S65" s="4" t="s">
        <v>95</v>
      </c>
      <c r="T65" s="2">
        <v>0</v>
      </c>
    </row>
    <row r="66" spans="6:20" x14ac:dyDescent="0.3">
      <c r="F66" s="4" t="s">
        <v>96</v>
      </c>
      <c r="G66" s="2">
        <v>20</v>
      </c>
      <c r="M66" s="4" t="s">
        <v>96</v>
      </c>
      <c r="N66" s="2">
        <v>32.450000000000003</v>
      </c>
      <c r="S66" s="4" t="s">
        <v>96</v>
      </c>
      <c r="T66" s="2">
        <v>10</v>
      </c>
    </row>
    <row r="67" spans="6:20" x14ac:dyDescent="0.3">
      <c r="F67" s="4" t="s">
        <v>97</v>
      </c>
      <c r="G67" s="2">
        <v>18</v>
      </c>
      <c r="M67" s="4" t="s">
        <v>97</v>
      </c>
      <c r="N67" s="2">
        <v>40.055555555555557</v>
      </c>
      <c r="S67" s="4" t="s">
        <v>98</v>
      </c>
      <c r="T67" s="2">
        <v>6.75</v>
      </c>
    </row>
    <row r="68" spans="6:20" x14ac:dyDescent="0.3">
      <c r="F68" s="4" t="s">
        <v>98</v>
      </c>
      <c r="G68" s="2">
        <v>18</v>
      </c>
      <c r="M68" s="4" t="s">
        <v>98</v>
      </c>
      <c r="N68" s="2">
        <v>31.666666666666668</v>
      </c>
      <c r="S68" s="4" t="s">
        <v>99</v>
      </c>
      <c r="T68" s="2">
        <v>7</v>
      </c>
    </row>
    <row r="69" spans="6:20" x14ac:dyDescent="0.3">
      <c r="F69" s="4" t="s">
        <v>99</v>
      </c>
      <c r="G69" s="2">
        <v>13</v>
      </c>
      <c r="M69" s="4" t="s">
        <v>99</v>
      </c>
      <c r="N69" s="2">
        <v>39.769230769230766</v>
      </c>
      <c r="S69" s="4" t="s">
        <v>100</v>
      </c>
      <c r="T69" s="2">
        <v>3.3333333333333335</v>
      </c>
    </row>
    <row r="70" spans="6:20" x14ac:dyDescent="0.3">
      <c r="F70" s="4" t="s">
        <v>100</v>
      </c>
      <c r="G70" s="2">
        <v>15</v>
      </c>
      <c r="M70" s="4" t="s">
        <v>100</v>
      </c>
      <c r="N70" s="2">
        <v>36.733333333333334</v>
      </c>
      <c r="S70" s="4" t="s">
        <v>101</v>
      </c>
      <c r="T70" s="2">
        <v>7.2</v>
      </c>
    </row>
    <row r="71" spans="6:20" x14ac:dyDescent="0.3">
      <c r="F71" s="4" t="s">
        <v>101</v>
      </c>
      <c r="G71" s="2">
        <v>19</v>
      </c>
      <c r="M71" s="4" t="s">
        <v>101</v>
      </c>
      <c r="N71" s="2">
        <v>34.526315789473685</v>
      </c>
      <c r="S71" s="4" t="s">
        <v>102</v>
      </c>
      <c r="T71" s="2">
        <v>6</v>
      </c>
    </row>
    <row r="72" spans="6:20" x14ac:dyDescent="0.3">
      <c r="F72" s="4" t="s">
        <v>102</v>
      </c>
      <c r="G72" s="2">
        <v>24</v>
      </c>
      <c r="M72" s="4" t="s">
        <v>102</v>
      </c>
      <c r="N72" s="2">
        <v>33.708333333333336</v>
      </c>
      <c r="S72" s="4" t="s">
        <v>103</v>
      </c>
      <c r="T72" s="2">
        <v>1.5</v>
      </c>
    </row>
    <row r="73" spans="6:20" x14ac:dyDescent="0.3">
      <c r="F73" s="4" t="s">
        <v>103</v>
      </c>
      <c r="G73" s="2">
        <v>24</v>
      </c>
      <c r="M73" s="4" t="s">
        <v>103</v>
      </c>
      <c r="N73" s="2">
        <v>36.291666666666664</v>
      </c>
      <c r="S73" s="4" t="s">
        <v>104</v>
      </c>
      <c r="T73" s="2">
        <v>2.75</v>
      </c>
    </row>
    <row r="74" spans="6:20" x14ac:dyDescent="0.3">
      <c r="F74" s="4" t="s">
        <v>104</v>
      </c>
      <c r="G74" s="2">
        <v>14</v>
      </c>
      <c r="M74" s="4" t="s">
        <v>104</v>
      </c>
      <c r="N74" s="2">
        <v>35.071428571428569</v>
      </c>
      <c r="S74" s="4" t="s">
        <v>105</v>
      </c>
      <c r="T74" s="2">
        <v>5</v>
      </c>
    </row>
    <row r="75" spans="6:20" x14ac:dyDescent="0.3">
      <c r="F75" s="4" t="s">
        <v>105</v>
      </c>
      <c r="G75" s="2">
        <v>14</v>
      </c>
      <c r="M75" s="4" t="s">
        <v>105</v>
      </c>
      <c r="N75" s="2">
        <v>31.571428571428573</v>
      </c>
      <c r="S75" s="4" t="s">
        <v>106</v>
      </c>
      <c r="T75" s="2">
        <v>5.5</v>
      </c>
    </row>
    <row r="76" spans="6:20" x14ac:dyDescent="0.3">
      <c r="F76" s="4" t="s">
        <v>106</v>
      </c>
      <c r="G76" s="2">
        <v>16</v>
      </c>
      <c r="M76" s="4" t="s">
        <v>106</v>
      </c>
      <c r="N76" s="2">
        <v>31.8125</v>
      </c>
      <c r="S76" s="4" t="s">
        <v>107</v>
      </c>
      <c r="T76" s="2">
        <v>5.0909090909090908</v>
      </c>
    </row>
    <row r="77" spans="6:20" x14ac:dyDescent="0.3">
      <c r="F77" s="4" t="s">
        <v>107</v>
      </c>
      <c r="G77" s="2">
        <v>26</v>
      </c>
      <c r="M77" s="4" t="s">
        <v>107</v>
      </c>
      <c r="N77" s="2">
        <v>36.846153846153847</v>
      </c>
      <c r="S77" s="4" t="s">
        <v>108</v>
      </c>
      <c r="T77" s="2">
        <v>7.666666666666667</v>
      </c>
    </row>
    <row r="78" spans="6:20" x14ac:dyDescent="0.3">
      <c r="F78" s="4" t="s">
        <v>108</v>
      </c>
      <c r="G78" s="2">
        <v>14</v>
      </c>
      <c r="M78" s="4" t="s">
        <v>108</v>
      </c>
      <c r="N78" s="2">
        <v>34.071428571428569</v>
      </c>
      <c r="S78" s="4" t="s">
        <v>109</v>
      </c>
      <c r="T78" s="2">
        <v>3.5</v>
      </c>
    </row>
    <row r="79" spans="6:20" x14ac:dyDescent="0.3">
      <c r="F79" s="4" t="s">
        <v>109</v>
      </c>
      <c r="G79" s="2">
        <v>22</v>
      </c>
      <c r="M79" s="4" t="s">
        <v>109</v>
      </c>
      <c r="N79" s="2">
        <v>33</v>
      </c>
      <c r="S79" s="4" t="s">
        <v>110</v>
      </c>
      <c r="T79" s="2">
        <v>3.6666666666666665</v>
      </c>
    </row>
    <row r="80" spans="6:20" x14ac:dyDescent="0.3">
      <c r="F80" s="4" t="s">
        <v>110</v>
      </c>
      <c r="G80" s="2">
        <v>18</v>
      </c>
      <c r="M80" s="4" t="s">
        <v>110</v>
      </c>
      <c r="N80" s="2">
        <v>40.222222222222221</v>
      </c>
      <c r="S80" s="4" t="s">
        <v>111</v>
      </c>
      <c r="T80" s="2">
        <v>3.8</v>
      </c>
    </row>
    <row r="81" spans="6:20" x14ac:dyDescent="0.3">
      <c r="F81" s="4" t="s">
        <v>111</v>
      </c>
      <c r="G81" s="2">
        <v>20</v>
      </c>
      <c r="M81" s="4" t="s">
        <v>111</v>
      </c>
      <c r="N81" s="2">
        <v>42.05</v>
      </c>
      <c r="S81" s="4" t="s">
        <v>112</v>
      </c>
      <c r="T81" s="2">
        <v>1</v>
      </c>
    </row>
    <row r="82" spans="6:20" x14ac:dyDescent="0.3">
      <c r="F82" s="4" t="s">
        <v>112</v>
      </c>
      <c r="G82" s="2">
        <v>13</v>
      </c>
      <c r="M82" s="4" t="s">
        <v>112</v>
      </c>
      <c r="N82" s="2">
        <v>42.615384615384613</v>
      </c>
      <c r="S82" s="4" t="s">
        <v>113</v>
      </c>
      <c r="T82" s="2">
        <v>7</v>
      </c>
    </row>
    <row r="83" spans="6:20" x14ac:dyDescent="0.3">
      <c r="F83" s="4" t="s">
        <v>113</v>
      </c>
      <c r="G83" s="2">
        <v>13</v>
      </c>
      <c r="M83" s="4" t="s">
        <v>113</v>
      </c>
      <c r="N83" s="2">
        <v>40.46153846153846</v>
      </c>
      <c r="S83" s="4" t="s">
        <v>114</v>
      </c>
      <c r="T83" s="2">
        <v>5</v>
      </c>
    </row>
    <row r="84" spans="6:20" x14ac:dyDescent="0.3">
      <c r="F84" s="4" t="s">
        <v>114</v>
      </c>
      <c r="G84" s="2">
        <v>14</v>
      </c>
      <c r="M84" s="4" t="s">
        <v>114</v>
      </c>
      <c r="N84" s="2">
        <v>34.071428571428569</v>
      </c>
      <c r="S84" s="4" t="s">
        <v>115</v>
      </c>
      <c r="T84" s="2">
        <v>4.25</v>
      </c>
    </row>
    <row r="85" spans="6:20" x14ac:dyDescent="0.3">
      <c r="F85" s="4" t="s">
        <v>115</v>
      </c>
      <c r="G85" s="2">
        <v>13</v>
      </c>
      <c r="M85" s="4" t="s">
        <v>115</v>
      </c>
      <c r="N85" s="2">
        <v>33.92307692307692</v>
      </c>
      <c r="S85" s="4" t="s">
        <v>116</v>
      </c>
      <c r="T85" s="2">
        <v>4</v>
      </c>
    </row>
    <row r="86" spans="6:20" x14ac:dyDescent="0.3">
      <c r="F86" s="4" t="s">
        <v>116</v>
      </c>
      <c r="G86" s="2">
        <v>18</v>
      </c>
      <c r="M86" s="4" t="s">
        <v>116</v>
      </c>
      <c r="N86" s="2">
        <v>43.166666666666664</v>
      </c>
      <c r="S86" s="4" t="s">
        <v>117</v>
      </c>
      <c r="T86" s="2">
        <v>7.333333333333333</v>
      </c>
    </row>
    <row r="87" spans="6:20" x14ac:dyDescent="0.3">
      <c r="F87" s="4" t="s">
        <v>117</v>
      </c>
      <c r="G87" s="2">
        <v>12</v>
      </c>
      <c r="M87" s="4" t="s">
        <v>117</v>
      </c>
      <c r="N87" s="2">
        <v>42.25</v>
      </c>
      <c r="S87" s="4" t="s">
        <v>118</v>
      </c>
      <c r="T87" s="2">
        <v>9</v>
      </c>
    </row>
    <row r="88" spans="6:20" x14ac:dyDescent="0.3">
      <c r="F88" s="4" t="s">
        <v>118</v>
      </c>
      <c r="G88" s="2">
        <v>11</v>
      </c>
      <c r="M88" s="4" t="s">
        <v>118</v>
      </c>
      <c r="N88" s="2">
        <v>44.090909090909093</v>
      </c>
      <c r="S88" s="4" t="s">
        <v>119</v>
      </c>
      <c r="T88" s="2">
        <v>5.25</v>
      </c>
    </row>
    <row r="89" spans="6:20" x14ac:dyDescent="0.3">
      <c r="F89" s="4" t="s">
        <v>119</v>
      </c>
      <c r="G89" s="2">
        <v>14</v>
      </c>
      <c r="M89" s="4" t="s">
        <v>119</v>
      </c>
      <c r="N89" s="2">
        <v>39</v>
      </c>
      <c r="S89" s="4" t="s">
        <v>120</v>
      </c>
      <c r="T89" s="2">
        <v>6.6</v>
      </c>
    </row>
    <row r="90" spans="6:20" x14ac:dyDescent="0.3">
      <c r="F90" s="4" t="s">
        <v>120</v>
      </c>
      <c r="G90" s="2">
        <v>12</v>
      </c>
      <c r="M90" s="4" t="s">
        <v>120</v>
      </c>
      <c r="N90" s="2">
        <v>31.25</v>
      </c>
      <c r="S90" s="4" t="s">
        <v>121</v>
      </c>
      <c r="T90" s="2">
        <v>6.25</v>
      </c>
    </row>
    <row r="91" spans="6:20" x14ac:dyDescent="0.3">
      <c r="F91" s="4" t="s">
        <v>121</v>
      </c>
      <c r="G91" s="2">
        <v>16</v>
      </c>
      <c r="M91" s="4" t="s">
        <v>121</v>
      </c>
      <c r="N91" s="2">
        <v>28.5</v>
      </c>
      <c r="S91" s="4" t="s">
        <v>122</v>
      </c>
      <c r="T91" s="2">
        <v>6.333333333333333</v>
      </c>
    </row>
    <row r="92" spans="6:20" x14ac:dyDescent="0.3">
      <c r="F92" s="4" t="s">
        <v>122</v>
      </c>
      <c r="G92" s="2">
        <v>16</v>
      </c>
      <c r="M92" s="4" t="s">
        <v>122</v>
      </c>
      <c r="N92" s="2">
        <v>34.0625</v>
      </c>
      <c r="S92" s="4" t="s">
        <v>123</v>
      </c>
      <c r="T92" s="2">
        <v>7</v>
      </c>
    </row>
    <row r="93" spans="6:20" x14ac:dyDescent="0.3">
      <c r="F93" s="4" t="s">
        <v>123</v>
      </c>
      <c r="G93" s="2">
        <v>15</v>
      </c>
      <c r="M93" s="4" t="s">
        <v>123</v>
      </c>
      <c r="N93" s="2">
        <v>25.2</v>
      </c>
      <c r="S93" s="4" t="s">
        <v>124</v>
      </c>
      <c r="T93" s="2">
        <v>5.666666666666667</v>
      </c>
    </row>
    <row r="94" spans="6:20" x14ac:dyDescent="0.3">
      <c r="F94" s="4" t="s">
        <v>124</v>
      </c>
      <c r="G94" s="2">
        <v>22</v>
      </c>
      <c r="M94" s="4" t="s">
        <v>124</v>
      </c>
      <c r="N94" s="2">
        <v>35.863636363636367</v>
      </c>
      <c r="S94" s="4" t="s">
        <v>125</v>
      </c>
      <c r="T94" s="2">
        <v>3.3333333333333335</v>
      </c>
    </row>
    <row r="95" spans="6:20" x14ac:dyDescent="0.3">
      <c r="F95" s="4" t="s">
        <v>125</v>
      </c>
      <c r="G95" s="2">
        <v>18</v>
      </c>
      <c r="M95" s="4" t="s">
        <v>125</v>
      </c>
      <c r="N95" s="2">
        <v>39.833333333333336</v>
      </c>
      <c r="S95" s="4" t="s">
        <v>126</v>
      </c>
      <c r="T95" s="2">
        <v>4.75</v>
      </c>
    </row>
    <row r="96" spans="6:20" x14ac:dyDescent="0.3">
      <c r="F96" s="4" t="s">
        <v>126</v>
      </c>
      <c r="G96" s="2">
        <v>10</v>
      </c>
      <c r="M96" s="4" t="s">
        <v>126</v>
      </c>
      <c r="N96" s="2">
        <v>37</v>
      </c>
      <c r="S96" s="4" t="s">
        <v>127</v>
      </c>
      <c r="T96" s="2">
        <v>2</v>
      </c>
    </row>
    <row r="97" spans="6:20" x14ac:dyDescent="0.3">
      <c r="F97" s="4" t="s">
        <v>127</v>
      </c>
      <c r="G97" s="2">
        <v>17</v>
      </c>
      <c r="M97" s="4" t="s">
        <v>127</v>
      </c>
      <c r="N97" s="2">
        <v>39.411764705882355</v>
      </c>
      <c r="S97" s="4" t="s">
        <v>128</v>
      </c>
      <c r="T97" s="2">
        <v>9.25</v>
      </c>
    </row>
    <row r="98" spans="6:20" x14ac:dyDescent="0.3">
      <c r="F98" s="4" t="s">
        <v>128</v>
      </c>
      <c r="G98" s="2">
        <v>17</v>
      </c>
      <c r="M98" s="4" t="s">
        <v>128</v>
      </c>
      <c r="N98" s="2">
        <v>30.294117647058822</v>
      </c>
      <c r="S98" s="4" t="s">
        <v>129</v>
      </c>
      <c r="T98" s="2">
        <v>2.6666666666666665</v>
      </c>
    </row>
    <row r="99" spans="6:20" x14ac:dyDescent="0.3">
      <c r="F99" s="4" t="s">
        <v>129</v>
      </c>
      <c r="G99" s="2">
        <v>12</v>
      </c>
      <c r="M99" s="4" t="s">
        <v>129</v>
      </c>
      <c r="N99" s="2">
        <v>32.666666666666664</v>
      </c>
      <c r="S99" s="4" t="s">
        <v>130</v>
      </c>
      <c r="T99" s="2">
        <v>4</v>
      </c>
    </row>
    <row r="100" spans="6:20" x14ac:dyDescent="0.3">
      <c r="F100" s="4" t="s">
        <v>130</v>
      </c>
      <c r="G100" s="2">
        <v>14</v>
      </c>
      <c r="M100" s="4" t="s">
        <v>130</v>
      </c>
      <c r="N100" s="2">
        <v>30.571428571428573</v>
      </c>
      <c r="S100" s="4" t="s">
        <v>131</v>
      </c>
      <c r="T100" s="2">
        <v>8.75</v>
      </c>
    </row>
    <row r="101" spans="6:20" x14ac:dyDescent="0.3">
      <c r="F101" s="4" t="s">
        <v>131</v>
      </c>
      <c r="G101" s="2">
        <v>18</v>
      </c>
      <c r="M101" s="4" t="s">
        <v>131</v>
      </c>
      <c r="N101" s="2">
        <v>39.055555555555557</v>
      </c>
      <c r="S101" s="4" t="s">
        <v>132</v>
      </c>
      <c r="T101" s="2">
        <v>3.8</v>
      </c>
    </row>
    <row r="102" spans="6:20" x14ac:dyDescent="0.3">
      <c r="F102" s="4" t="s">
        <v>132</v>
      </c>
      <c r="G102" s="2">
        <v>31</v>
      </c>
      <c r="M102" s="4" t="s">
        <v>132</v>
      </c>
      <c r="N102" s="2">
        <v>37.12903225806452</v>
      </c>
      <c r="S102" s="4" t="s">
        <v>133</v>
      </c>
      <c r="T102" s="2">
        <v>6</v>
      </c>
    </row>
    <row r="103" spans="6:20" x14ac:dyDescent="0.3">
      <c r="F103" s="4" t="s">
        <v>133</v>
      </c>
      <c r="G103" s="2">
        <v>32</v>
      </c>
      <c r="M103" s="4" t="s">
        <v>133</v>
      </c>
      <c r="N103" s="2">
        <v>35.34375</v>
      </c>
      <c r="S103" s="4" t="s">
        <v>134</v>
      </c>
      <c r="T103" s="2">
        <v>4.5999999999999996</v>
      </c>
    </row>
    <row r="104" spans="6:20" x14ac:dyDescent="0.3">
      <c r="F104" s="4" t="s">
        <v>134</v>
      </c>
      <c r="G104" s="2">
        <v>31</v>
      </c>
      <c r="M104" s="4" t="s">
        <v>134</v>
      </c>
      <c r="N104" s="2">
        <v>33.064516129032256</v>
      </c>
      <c r="S104" s="4" t="s">
        <v>135</v>
      </c>
      <c r="T104" s="2">
        <v>5.7142857142857144</v>
      </c>
    </row>
    <row r="105" spans="6:20" x14ac:dyDescent="0.3">
      <c r="F105" s="4" t="s">
        <v>135</v>
      </c>
      <c r="G105" s="2">
        <v>29</v>
      </c>
      <c r="M105" s="4" t="s">
        <v>135</v>
      </c>
      <c r="N105" s="2">
        <v>33.482758620689658</v>
      </c>
      <c r="S105" s="4" t="s">
        <v>136</v>
      </c>
      <c r="T105" s="2">
        <v>4.666666666666667</v>
      </c>
    </row>
    <row r="106" spans="6:20" x14ac:dyDescent="0.3">
      <c r="F106" s="4" t="s">
        <v>136</v>
      </c>
      <c r="G106" s="2">
        <v>34</v>
      </c>
      <c r="M106" s="4" t="s">
        <v>136</v>
      </c>
      <c r="N106" s="2">
        <v>34</v>
      </c>
      <c r="S106" s="4" t="s">
        <v>137</v>
      </c>
      <c r="T106" s="2">
        <v>3.4</v>
      </c>
    </row>
    <row r="107" spans="6:20" x14ac:dyDescent="0.3">
      <c r="F107" s="4" t="s">
        <v>137</v>
      </c>
      <c r="G107" s="2">
        <v>31</v>
      </c>
      <c r="M107" s="4" t="s">
        <v>137</v>
      </c>
      <c r="N107" s="2">
        <v>34.354838709677416</v>
      </c>
      <c r="S107" s="4" t="s">
        <v>138</v>
      </c>
      <c r="T107" s="2">
        <v>5</v>
      </c>
    </row>
    <row r="108" spans="6:20" x14ac:dyDescent="0.3">
      <c r="F108" s="4" t="s">
        <v>138</v>
      </c>
      <c r="G108" s="2">
        <v>27</v>
      </c>
      <c r="M108" s="4" t="s">
        <v>138</v>
      </c>
      <c r="N108" s="2">
        <v>32.666666666666664</v>
      </c>
      <c r="S108" s="4" t="s">
        <v>139</v>
      </c>
      <c r="T108" s="2">
        <v>5.8571428571428568</v>
      </c>
    </row>
    <row r="109" spans="6:20" x14ac:dyDescent="0.3">
      <c r="F109" s="4" t="s">
        <v>139</v>
      </c>
      <c r="G109" s="2">
        <v>32</v>
      </c>
      <c r="M109" s="4" t="s">
        <v>139</v>
      </c>
      <c r="N109" s="2">
        <v>30.3125</v>
      </c>
      <c r="S109" s="4" t="s">
        <v>140</v>
      </c>
      <c r="T109" s="2">
        <v>4.8888888888888893</v>
      </c>
    </row>
    <row r="110" spans="6:20" x14ac:dyDescent="0.3">
      <c r="F110" s="4" t="s">
        <v>140</v>
      </c>
      <c r="G110" s="2">
        <v>27</v>
      </c>
      <c r="M110" s="4" t="s">
        <v>140</v>
      </c>
      <c r="N110" s="2">
        <v>33.925925925925924</v>
      </c>
      <c r="S110" s="4" t="s">
        <v>141</v>
      </c>
      <c r="T110" s="2">
        <v>6</v>
      </c>
    </row>
    <row r="111" spans="6:20" x14ac:dyDescent="0.3">
      <c r="F111" s="4" t="s">
        <v>141</v>
      </c>
      <c r="G111" s="2">
        <v>27</v>
      </c>
      <c r="M111" s="4" t="s">
        <v>141</v>
      </c>
      <c r="N111" s="2">
        <v>32.037037037037038</v>
      </c>
      <c r="S111" s="4" t="s">
        <v>142</v>
      </c>
      <c r="T111" s="2">
        <v>4.7142857142857144</v>
      </c>
    </row>
    <row r="112" spans="6:20" x14ac:dyDescent="0.3">
      <c r="F112" s="4" t="s">
        <v>142</v>
      </c>
      <c r="G112" s="2">
        <v>33</v>
      </c>
      <c r="M112" s="4" t="s">
        <v>142</v>
      </c>
      <c r="N112" s="2">
        <v>38.606060606060609</v>
      </c>
      <c r="S112" s="4" t="s">
        <v>143</v>
      </c>
      <c r="T112" s="2">
        <v>7.1428571428571432</v>
      </c>
    </row>
    <row r="113" spans="6:20" x14ac:dyDescent="0.3">
      <c r="F113" s="4" t="s">
        <v>143</v>
      </c>
      <c r="G113" s="2">
        <v>42</v>
      </c>
      <c r="M113" s="4" t="s">
        <v>143</v>
      </c>
      <c r="N113" s="2">
        <v>36.761904761904759</v>
      </c>
      <c r="S113" s="4" t="s">
        <v>144</v>
      </c>
      <c r="T113" s="2">
        <v>4.333333333333333</v>
      </c>
    </row>
    <row r="114" spans="6:20" x14ac:dyDescent="0.3">
      <c r="F114" s="4" t="s">
        <v>144</v>
      </c>
      <c r="G114" s="2">
        <v>25</v>
      </c>
      <c r="M114" s="4" t="s">
        <v>144</v>
      </c>
      <c r="N114" s="2">
        <v>28.52</v>
      </c>
      <c r="S114" s="4" t="s">
        <v>145</v>
      </c>
      <c r="T114" s="2">
        <v>6.7333333333333334</v>
      </c>
    </row>
    <row r="115" spans="6:20" x14ac:dyDescent="0.3">
      <c r="F115" s="4" t="s">
        <v>145</v>
      </c>
      <c r="G115" s="2">
        <v>34</v>
      </c>
      <c r="M115" s="4" t="s">
        <v>145</v>
      </c>
      <c r="N115" s="2">
        <v>33.882352941176471</v>
      </c>
      <c r="S115" s="4" t="s">
        <v>146</v>
      </c>
      <c r="T115" s="2">
        <v>5.2857142857142856</v>
      </c>
    </row>
    <row r="116" spans="6:20" x14ac:dyDescent="0.3">
      <c r="F116" s="4" t="s">
        <v>146</v>
      </c>
      <c r="G116" s="2">
        <v>32</v>
      </c>
      <c r="M116" s="4" t="s">
        <v>146</v>
      </c>
      <c r="N116" s="2">
        <v>39.625</v>
      </c>
      <c r="S116" s="4" t="s">
        <v>147</v>
      </c>
      <c r="T116" s="2">
        <v>4.916666666666667</v>
      </c>
    </row>
    <row r="117" spans="6:20" x14ac:dyDescent="0.3">
      <c r="F117" s="4" t="s">
        <v>147</v>
      </c>
      <c r="G117" s="2">
        <v>34</v>
      </c>
      <c r="M117" s="4" t="s">
        <v>147</v>
      </c>
      <c r="N117" s="2">
        <v>31.823529411764707</v>
      </c>
      <c r="S117" s="4" t="s">
        <v>148</v>
      </c>
      <c r="T117" s="2">
        <v>4.333333333333333</v>
      </c>
    </row>
    <row r="118" spans="6:20" x14ac:dyDescent="0.3">
      <c r="F118" s="4" t="s">
        <v>148</v>
      </c>
      <c r="G118" s="2">
        <v>26</v>
      </c>
      <c r="M118" s="4" t="s">
        <v>148</v>
      </c>
      <c r="N118" s="2">
        <v>37.769230769230766</v>
      </c>
      <c r="S118" s="4" t="s">
        <v>149</v>
      </c>
      <c r="T118" s="2">
        <v>5.333333333333333</v>
      </c>
    </row>
    <row r="119" spans="6:20" x14ac:dyDescent="0.3">
      <c r="F119" s="4" t="s">
        <v>149</v>
      </c>
      <c r="G119" s="2">
        <v>36</v>
      </c>
      <c r="M119" s="4" t="s">
        <v>149</v>
      </c>
      <c r="N119" s="2">
        <v>38.055555555555557</v>
      </c>
      <c r="S119" s="4" t="s">
        <v>150</v>
      </c>
      <c r="T119" s="2">
        <v>4.3636363636363633</v>
      </c>
    </row>
    <row r="120" spans="6:20" x14ac:dyDescent="0.3">
      <c r="F120" s="4" t="s">
        <v>150</v>
      </c>
      <c r="G120" s="2">
        <v>31</v>
      </c>
      <c r="M120" s="4" t="s">
        <v>150</v>
      </c>
      <c r="N120" s="2">
        <v>30.129032258064516</v>
      </c>
      <c r="S120" s="4" t="s">
        <v>151</v>
      </c>
      <c r="T120" s="2">
        <v>2.9090909090909092</v>
      </c>
    </row>
    <row r="121" spans="6:20" x14ac:dyDescent="0.3">
      <c r="F121" s="4" t="s">
        <v>151</v>
      </c>
      <c r="G121" s="2">
        <v>32</v>
      </c>
      <c r="M121" s="4" t="s">
        <v>151</v>
      </c>
      <c r="N121" s="2">
        <v>35.03125</v>
      </c>
      <c r="S121" s="4" t="s">
        <v>152</v>
      </c>
      <c r="T121" s="2">
        <v>4.5</v>
      </c>
    </row>
    <row r="122" spans="6:20" x14ac:dyDescent="0.3">
      <c r="F122" s="4" t="s">
        <v>152</v>
      </c>
      <c r="G122" s="2">
        <v>33</v>
      </c>
      <c r="M122" s="4" t="s">
        <v>152</v>
      </c>
      <c r="N122" s="2">
        <v>35.303030303030305</v>
      </c>
      <c r="S122" s="4" t="s">
        <v>153</v>
      </c>
      <c r="T122" s="2">
        <v>6.1</v>
      </c>
    </row>
    <row r="123" spans="6:20" x14ac:dyDescent="0.3">
      <c r="F123" s="4" t="s">
        <v>153</v>
      </c>
      <c r="G123" s="2">
        <v>39</v>
      </c>
      <c r="M123" s="4" t="s">
        <v>153</v>
      </c>
      <c r="N123" s="2">
        <v>35.717948717948715</v>
      </c>
      <c r="S123" s="4" t="s">
        <v>154</v>
      </c>
      <c r="T123" s="2">
        <v>6.666666666666667</v>
      </c>
    </row>
    <row r="124" spans="6:20" x14ac:dyDescent="0.3">
      <c r="F124" s="4" t="s">
        <v>154</v>
      </c>
      <c r="G124" s="2">
        <v>27</v>
      </c>
      <c r="M124" s="4" t="s">
        <v>154</v>
      </c>
      <c r="N124" s="2">
        <v>41.407407407407405</v>
      </c>
      <c r="S124" s="4" t="s">
        <v>155</v>
      </c>
      <c r="T124" s="2">
        <v>5</v>
      </c>
    </row>
    <row r="125" spans="6:20" x14ac:dyDescent="0.3">
      <c r="F125" s="4" t="s">
        <v>155</v>
      </c>
      <c r="G125" s="2">
        <v>32</v>
      </c>
      <c r="M125" s="4" t="s">
        <v>155</v>
      </c>
      <c r="N125" s="2">
        <v>37.28125</v>
      </c>
      <c r="S125" s="4" t="s">
        <v>156</v>
      </c>
      <c r="T125" s="2">
        <v>2.5555555555555554</v>
      </c>
    </row>
    <row r="126" spans="6:20" x14ac:dyDescent="0.3">
      <c r="F126" s="4" t="s">
        <v>156</v>
      </c>
      <c r="G126" s="2">
        <v>33</v>
      </c>
      <c r="M126" s="4" t="s">
        <v>156</v>
      </c>
      <c r="N126" s="2">
        <v>38.575757575757578</v>
      </c>
      <c r="S126" s="4" t="s">
        <v>157</v>
      </c>
      <c r="T126" s="2">
        <v>5.5714285714285712</v>
      </c>
    </row>
    <row r="127" spans="6:20" x14ac:dyDescent="0.3">
      <c r="F127" s="4" t="s">
        <v>157</v>
      </c>
      <c r="G127" s="2">
        <v>34</v>
      </c>
      <c r="M127" s="4" t="s">
        <v>157</v>
      </c>
      <c r="N127" s="2">
        <v>33.411764705882355</v>
      </c>
      <c r="S127" s="4" t="s">
        <v>158</v>
      </c>
      <c r="T127" s="2">
        <v>4.8461538461538458</v>
      </c>
    </row>
    <row r="128" spans="6:20" x14ac:dyDescent="0.3">
      <c r="F128" s="4" t="s">
        <v>158</v>
      </c>
      <c r="G128" s="2">
        <v>35</v>
      </c>
      <c r="M128" s="4" t="s">
        <v>158</v>
      </c>
      <c r="N128" s="2">
        <v>36.6</v>
      </c>
      <c r="S128" s="4" t="s">
        <v>159</v>
      </c>
      <c r="T128" s="2">
        <v>4.8888888888888893</v>
      </c>
    </row>
    <row r="129" spans="6:20" x14ac:dyDescent="0.3">
      <c r="F129" s="4" t="s">
        <v>159</v>
      </c>
      <c r="G129" s="2">
        <v>32</v>
      </c>
      <c r="M129" s="4" t="s">
        <v>159</v>
      </c>
      <c r="N129" s="2">
        <v>31.875</v>
      </c>
      <c r="S129" s="4" t="s">
        <v>160</v>
      </c>
      <c r="T129" s="2">
        <v>4.8</v>
      </c>
    </row>
    <row r="130" spans="6:20" x14ac:dyDescent="0.3">
      <c r="F130" s="4" t="s">
        <v>160</v>
      </c>
      <c r="G130" s="2">
        <v>27</v>
      </c>
      <c r="M130" s="4" t="s">
        <v>160</v>
      </c>
      <c r="N130" s="2">
        <v>36.925925925925924</v>
      </c>
      <c r="S130" s="4" t="s">
        <v>161</v>
      </c>
      <c r="T130" s="2">
        <v>5.375</v>
      </c>
    </row>
    <row r="131" spans="6:20" x14ac:dyDescent="0.3">
      <c r="F131" s="4" t="s">
        <v>161</v>
      </c>
      <c r="G131" s="2">
        <v>30</v>
      </c>
      <c r="M131" s="4" t="s">
        <v>161</v>
      </c>
      <c r="N131" s="2">
        <v>33.533333333333331</v>
      </c>
      <c r="S131" s="4" t="s">
        <v>162</v>
      </c>
      <c r="T131" s="2">
        <v>6.8571428571428568</v>
      </c>
    </row>
    <row r="132" spans="6:20" x14ac:dyDescent="0.3">
      <c r="F132" s="4" t="s">
        <v>162</v>
      </c>
      <c r="G132" s="2">
        <v>34</v>
      </c>
      <c r="M132" s="4" t="s">
        <v>162</v>
      </c>
      <c r="N132" s="2">
        <v>33.205882352941174</v>
      </c>
      <c r="S132" s="4" t="s">
        <v>163</v>
      </c>
      <c r="T132" s="2">
        <v>4.3636363636363633</v>
      </c>
    </row>
    <row r="133" spans="6:20" x14ac:dyDescent="0.3">
      <c r="F133" s="4" t="s">
        <v>163</v>
      </c>
      <c r="G133" s="2">
        <v>37</v>
      </c>
      <c r="M133" s="4" t="s">
        <v>163</v>
      </c>
      <c r="N133" s="2">
        <v>30.135135135135137</v>
      </c>
      <c r="S133" s="4" t="s">
        <v>164</v>
      </c>
      <c r="T133" s="2">
        <v>6.416666666666667</v>
      </c>
    </row>
    <row r="134" spans="6:20" x14ac:dyDescent="0.3">
      <c r="F134" s="4" t="s">
        <v>164</v>
      </c>
      <c r="G134" s="2">
        <v>41</v>
      </c>
      <c r="M134" s="4" t="s">
        <v>164</v>
      </c>
      <c r="N134" s="2">
        <v>38.512195121951223</v>
      </c>
      <c r="S134" s="4" t="s">
        <v>165</v>
      </c>
      <c r="T134" s="2">
        <v>5.5384615384615383</v>
      </c>
    </row>
    <row r="135" spans="6:20" x14ac:dyDescent="0.3">
      <c r="F135" s="4" t="s">
        <v>165</v>
      </c>
      <c r="G135" s="2">
        <v>31</v>
      </c>
      <c r="M135" s="4" t="s">
        <v>165</v>
      </c>
      <c r="N135" s="2">
        <v>34.806451612903224</v>
      </c>
      <c r="S135" s="4" t="s">
        <v>166</v>
      </c>
      <c r="T135" s="2">
        <v>5</v>
      </c>
    </row>
    <row r="136" spans="6:20" x14ac:dyDescent="0.3">
      <c r="F136" s="4" t="s">
        <v>166</v>
      </c>
      <c r="G136" s="2">
        <v>29</v>
      </c>
      <c r="M136" s="4" t="s">
        <v>166</v>
      </c>
      <c r="N136" s="2">
        <v>34.517241379310342</v>
      </c>
      <c r="S136" s="4" t="s">
        <v>167</v>
      </c>
      <c r="T136" s="2">
        <v>4.9090909090909092</v>
      </c>
    </row>
    <row r="137" spans="6:20" x14ac:dyDescent="0.3">
      <c r="F137" s="4" t="s">
        <v>167</v>
      </c>
      <c r="G137" s="2">
        <v>33</v>
      </c>
      <c r="M137" s="4" t="s">
        <v>167</v>
      </c>
      <c r="N137" s="2">
        <v>36.575757575757578</v>
      </c>
      <c r="S137" s="4" t="s">
        <v>168</v>
      </c>
      <c r="T137" s="2">
        <v>3.3</v>
      </c>
    </row>
    <row r="138" spans="6:20" x14ac:dyDescent="0.3">
      <c r="F138" s="4" t="s">
        <v>168</v>
      </c>
      <c r="G138" s="2">
        <v>30</v>
      </c>
      <c r="M138" s="4" t="s">
        <v>168</v>
      </c>
      <c r="N138" s="2">
        <v>35.833333333333336</v>
      </c>
      <c r="S138" s="4" t="s">
        <v>169</v>
      </c>
      <c r="T138" s="2">
        <v>4.7</v>
      </c>
    </row>
    <row r="139" spans="6:20" x14ac:dyDescent="0.3">
      <c r="F139" s="4" t="s">
        <v>169</v>
      </c>
      <c r="G139" s="2">
        <v>37</v>
      </c>
      <c r="M139" s="4" t="s">
        <v>169</v>
      </c>
      <c r="N139" s="2">
        <v>35.567567567567565</v>
      </c>
      <c r="S139" s="4" t="s">
        <v>170</v>
      </c>
      <c r="T139" s="2">
        <v>4.666666666666667</v>
      </c>
    </row>
    <row r="140" spans="6:20" x14ac:dyDescent="0.3">
      <c r="F140" s="4" t="s">
        <v>170</v>
      </c>
      <c r="G140" s="2">
        <v>33</v>
      </c>
      <c r="M140" s="4" t="s">
        <v>170</v>
      </c>
      <c r="N140" s="2">
        <v>36.333333333333336</v>
      </c>
      <c r="S140" s="4" t="s">
        <v>171</v>
      </c>
      <c r="T140" s="2">
        <v>4.875</v>
      </c>
    </row>
    <row r="141" spans="6:20" x14ac:dyDescent="0.3">
      <c r="F141" s="4" t="s">
        <v>171</v>
      </c>
      <c r="G141" s="2">
        <v>37</v>
      </c>
      <c r="M141" s="4" t="s">
        <v>171</v>
      </c>
      <c r="N141" s="2">
        <v>31.351351351351351</v>
      </c>
      <c r="S141" s="4" t="s">
        <v>172</v>
      </c>
      <c r="T141" s="2">
        <v>5.333333333333333</v>
      </c>
    </row>
    <row r="142" spans="6:20" x14ac:dyDescent="0.3">
      <c r="F142" s="4" t="s">
        <v>172</v>
      </c>
      <c r="G142" s="2">
        <v>31</v>
      </c>
      <c r="M142" s="4" t="s">
        <v>172</v>
      </c>
      <c r="N142" s="2">
        <v>31.64516129032258</v>
      </c>
      <c r="S142" s="4" t="s">
        <v>173</v>
      </c>
      <c r="T142" s="2">
        <v>4.125</v>
      </c>
    </row>
    <row r="143" spans="6:20" x14ac:dyDescent="0.3">
      <c r="F143" s="4" t="s">
        <v>173</v>
      </c>
      <c r="G143" s="2">
        <v>25</v>
      </c>
      <c r="M143" s="4" t="s">
        <v>173</v>
      </c>
      <c r="N143" s="2">
        <v>40.200000000000003</v>
      </c>
      <c r="S143" s="4" t="s">
        <v>174</v>
      </c>
      <c r="T143" s="2">
        <v>6</v>
      </c>
    </row>
    <row r="144" spans="6:20" x14ac:dyDescent="0.3">
      <c r="F144" s="4" t="s">
        <v>174</v>
      </c>
      <c r="G144" s="2">
        <v>25</v>
      </c>
      <c r="M144" s="4" t="s">
        <v>174</v>
      </c>
      <c r="N144" s="2">
        <v>38</v>
      </c>
      <c r="S144" s="4" t="s">
        <v>175</v>
      </c>
      <c r="T144" s="2">
        <v>4.3</v>
      </c>
    </row>
    <row r="145" spans="6:20" x14ac:dyDescent="0.3">
      <c r="F145" s="4" t="s">
        <v>175</v>
      </c>
      <c r="G145" s="2">
        <v>25</v>
      </c>
      <c r="M145" s="4" t="s">
        <v>175</v>
      </c>
      <c r="N145" s="2">
        <v>30.56</v>
      </c>
      <c r="S145" s="4" t="s">
        <v>176</v>
      </c>
      <c r="T145" s="2">
        <v>4.2</v>
      </c>
    </row>
    <row r="146" spans="6:20" x14ac:dyDescent="0.3">
      <c r="F146" s="4" t="s">
        <v>176</v>
      </c>
      <c r="G146" s="2">
        <v>23</v>
      </c>
      <c r="M146" s="4" t="s">
        <v>176</v>
      </c>
      <c r="N146" s="2">
        <v>34.565217391304351</v>
      </c>
      <c r="S146" s="4" t="s">
        <v>177</v>
      </c>
      <c r="T146" s="2">
        <v>6.8666666666666663</v>
      </c>
    </row>
    <row r="147" spans="6:20" x14ac:dyDescent="0.3">
      <c r="F147" s="4" t="s">
        <v>177</v>
      </c>
      <c r="G147" s="2">
        <v>41</v>
      </c>
      <c r="M147" s="4" t="s">
        <v>177</v>
      </c>
      <c r="N147" s="2">
        <v>32.902439024390247</v>
      </c>
      <c r="S147" s="4" t="s">
        <v>178</v>
      </c>
      <c r="T147" s="2">
        <v>6.2857142857142856</v>
      </c>
    </row>
    <row r="148" spans="6:20" x14ac:dyDescent="0.3">
      <c r="F148" s="4" t="s">
        <v>178</v>
      </c>
      <c r="G148" s="2">
        <v>31</v>
      </c>
      <c r="M148" s="4" t="s">
        <v>178</v>
      </c>
      <c r="N148" s="2">
        <v>33.451612903225808</v>
      </c>
      <c r="S148" s="4" t="s">
        <v>179</v>
      </c>
      <c r="T148" s="2">
        <v>4.0909090909090908</v>
      </c>
    </row>
    <row r="149" spans="6:20" x14ac:dyDescent="0.3">
      <c r="F149" s="4" t="s">
        <v>179</v>
      </c>
      <c r="G149" s="2">
        <v>34</v>
      </c>
      <c r="M149" s="4" t="s">
        <v>179</v>
      </c>
      <c r="N149" s="2">
        <v>36.117647058823529</v>
      </c>
      <c r="S149" s="4" t="s">
        <v>180</v>
      </c>
      <c r="T149" s="2">
        <v>4</v>
      </c>
    </row>
    <row r="150" spans="6:20" x14ac:dyDescent="0.3">
      <c r="F150" s="4" t="s">
        <v>180</v>
      </c>
      <c r="G150" s="2">
        <v>31</v>
      </c>
      <c r="M150" s="4" t="s">
        <v>180</v>
      </c>
      <c r="N150" s="2">
        <v>36.322580645161288</v>
      </c>
      <c r="S150" s="4" t="s">
        <v>181</v>
      </c>
      <c r="T150" s="2">
        <v>5.4285714285714288</v>
      </c>
    </row>
    <row r="151" spans="6:20" x14ac:dyDescent="0.3">
      <c r="F151" s="4" t="s">
        <v>181</v>
      </c>
      <c r="G151" s="2">
        <v>31</v>
      </c>
      <c r="M151" s="4" t="s">
        <v>181</v>
      </c>
      <c r="N151" s="2">
        <v>32.806451612903224</v>
      </c>
      <c r="S151" s="4" t="s">
        <v>182</v>
      </c>
      <c r="T151" s="2">
        <v>5.8</v>
      </c>
    </row>
    <row r="152" spans="6:20" x14ac:dyDescent="0.3">
      <c r="F152" s="4" t="s">
        <v>182</v>
      </c>
      <c r="G152" s="2">
        <v>44</v>
      </c>
      <c r="M152" s="4" t="s">
        <v>182</v>
      </c>
      <c r="N152" s="2">
        <v>37.704545454545453</v>
      </c>
      <c r="S152" s="4" t="s">
        <v>183</v>
      </c>
      <c r="T152" s="2">
        <v>4.5625</v>
      </c>
    </row>
    <row r="153" spans="6:20" x14ac:dyDescent="0.3">
      <c r="F153" s="4" t="s">
        <v>183</v>
      </c>
      <c r="G153" s="2">
        <v>43</v>
      </c>
      <c r="M153" s="4" t="s">
        <v>183</v>
      </c>
      <c r="N153" s="2">
        <v>36.534883720930232</v>
      </c>
      <c r="S153" s="4" t="s">
        <v>184</v>
      </c>
      <c r="T153" s="2">
        <v>4.5454545454545459</v>
      </c>
    </row>
    <row r="154" spans="6:20" x14ac:dyDescent="0.3">
      <c r="F154" s="4" t="s">
        <v>184</v>
      </c>
      <c r="G154" s="2">
        <v>33</v>
      </c>
      <c r="M154" s="4" t="s">
        <v>184</v>
      </c>
      <c r="N154" s="2">
        <v>35.303030303030305</v>
      </c>
      <c r="S154" s="4" t="s">
        <v>185</v>
      </c>
      <c r="T154" s="2">
        <v>5.75</v>
      </c>
    </row>
    <row r="155" spans="6:20" x14ac:dyDescent="0.3">
      <c r="F155" s="4" t="s">
        <v>185</v>
      </c>
      <c r="G155" s="2">
        <v>28</v>
      </c>
      <c r="M155" s="4" t="s">
        <v>185</v>
      </c>
      <c r="N155" s="2">
        <v>41.535714285714285</v>
      </c>
      <c r="S155" s="4" t="s">
        <v>186</v>
      </c>
      <c r="T155" s="2">
        <v>5.2</v>
      </c>
    </row>
    <row r="156" spans="6:20" x14ac:dyDescent="0.3">
      <c r="F156" s="4" t="s">
        <v>186</v>
      </c>
      <c r="G156" s="2">
        <v>34</v>
      </c>
      <c r="M156" s="4" t="s">
        <v>186</v>
      </c>
      <c r="N156" s="2">
        <v>38.147058823529413</v>
      </c>
      <c r="S156" s="4" t="s">
        <v>187</v>
      </c>
      <c r="T156" s="2">
        <v>7.25</v>
      </c>
    </row>
    <row r="157" spans="6:20" x14ac:dyDescent="0.3">
      <c r="F157" s="4" t="s">
        <v>187</v>
      </c>
      <c r="G157" s="2">
        <v>24</v>
      </c>
      <c r="M157" s="4" t="s">
        <v>187</v>
      </c>
      <c r="N157" s="2">
        <v>37.166666666666664</v>
      </c>
      <c r="S157" s="4" t="s">
        <v>188</v>
      </c>
      <c r="T157" s="2">
        <v>4.8</v>
      </c>
    </row>
    <row r="158" spans="6:20" x14ac:dyDescent="0.3">
      <c r="F158" s="4" t="s">
        <v>188</v>
      </c>
      <c r="G158" s="2">
        <v>27</v>
      </c>
      <c r="M158" s="4" t="s">
        <v>188</v>
      </c>
      <c r="N158" s="2">
        <v>33.629629629629626</v>
      </c>
      <c r="S158" s="4" t="s">
        <v>189</v>
      </c>
      <c r="T158" s="2">
        <v>4.5384615384615383</v>
      </c>
    </row>
    <row r="159" spans="6:20" x14ac:dyDescent="0.3">
      <c r="F159" s="4" t="s">
        <v>189</v>
      </c>
      <c r="G159" s="2">
        <v>23</v>
      </c>
      <c r="M159" s="4" t="s">
        <v>189</v>
      </c>
      <c r="N159" s="2">
        <v>33.130434782608695</v>
      </c>
      <c r="S159" s="4" t="s">
        <v>190</v>
      </c>
      <c r="T159" s="2">
        <v>4.5999999999999996</v>
      </c>
    </row>
    <row r="160" spans="6:20" x14ac:dyDescent="0.3">
      <c r="F160" s="4" t="s">
        <v>190</v>
      </c>
      <c r="G160" s="2">
        <v>35</v>
      </c>
      <c r="M160" s="4" t="s">
        <v>190</v>
      </c>
      <c r="N160" s="2">
        <v>36.085714285714289</v>
      </c>
      <c r="S160" s="4" t="s">
        <v>191</v>
      </c>
      <c r="T160" s="2">
        <v>5</v>
      </c>
    </row>
    <row r="161" spans="6:20" x14ac:dyDescent="0.3">
      <c r="F161" s="4" t="s">
        <v>191</v>
      </c>
      <c r="G161" s="2">
        <v>39</v>
      </c>
      <c r="M161" s="4" t="s">
        <v>191</v>
      </c>
      <c r="N161" s="2">
        <v>33.512820512820511</v>
      </c>
      <c r="S161" s="4" t="s">
        <v>192</v>
      </c>
      <c r="T161" s="2">
        <v>7</v>
      </c>
    </row>
    <row r="162" spans="6:20" x14ac:dyDescent="0.3">
      <c r="F162" s="4" t="s">
        <v>192</v>
      </c>
      <c r="G162" s="2">
        <v>30</v>
      </c>
      <c r="M162" s="4" t="s">
        <v>192</v>
      </c>
      <c r="N162" s="2">
        <v>33.733333333333334</v>
      </c>
      <c r="S162" s="4" t="s">
        <v>193</v>
      </c>
      <c r="T162" s="2">
        <v>4.7777777777777777</v>
      </c>
    </row>
    <row r="163" spans="6:20" x14ac:dyDescent="0.3">
      <c r="F163" s="4" t="s">
        <v>193</v>
      </c>
      <c r="G163" s="2">
        <v>43</v>
      </c>
      <c r="M163" s="4" t="s">
        <v>193</v>
      </c>
      <c r="N163" s="2">
        <v>34.279069767441861</v>
      </c>
      <c r="S163" s="4" t="s">
        <v>194</v>
      </c>
      <c r="T163" s="2">
        <v>5.2727272727272725</v>
      </c>
    </row>
    <row r="164" spans="6:20" x14ac:dyDescent="0.3">
      <c r="F164" s="4" t="s">
        <v>194</v>
      </c>
      <c r="G164" s="2">
        <v>27</v>
      </c>
      <c r="M164" s="4" t="s">
        <v>194</v>
      </c>
      <c r="N164" s="2">
        <v>36.222222222222221</v>
      </c>
      <c r="S164" s="4" t="s">
        <v>195</v>
      </c>
      <c r="T164" s="2">
        <v>4.2727272727272725</v>
      </c>
    </row>
    <row r="165" spans="6:20" x14ac:dyDescent="0.3">
      <c r="F165" s="4" t="s">
        <v>195</v>
      </c>
      <c r="G165" s="2">
        <v>42</v>
      </c>
      <c r="M165" s="4" t="s">
        <v>195</v>
      </c>
      <c r="N165" s="2">
        <v>35.904761904761905</v>
      </c>
      <c r="S165" s="4" t="s">
        <v>196</v>
      </c>
      <c r="T165" s="2">
        <v>5</v>
      </c>
    </row>
    <row r="166" spans="6:20" x14ac:dyDescent="0.3">
      <c r="F166" s="4" t="s">
        <v>196</v>
      </c>
      <c r="G166" s="2">
        <v>32</v>
      </c>
      <c r="M166" s="4" t="s">
        <v>196</v>
      </c>
      <c r="N166" s="2">
        <v>32.53125</v>
      </c>
      <c r="S166" s="4" t="s">
        <v>197</v>
      </c>
      <c r="T166" s="2">
        <v>4.3571428571428568</v>
      </c>
    </row>
    <row r="167" spans="6:20" x14ac:dyDescent="0.3">
      <c r="F167" s="4" t="s">
        <v>197</v>
      </c>
      <c r="G167" s="2">
        <v>32</v>
      </c>
      <c r="M167" s="4" t="s">
        <v>197</v>
      </c>
      <c r="N167" s="2">
        <v>33.84375</v>
      </c>
      <c r="S167" s="4" t="s">
        <v>198</v>
      </c>
      <c r="T167" s="2">
        <v>4.8571428571428568</v>
      </c>
    </row>
    <row r="168" spans="6:20" x14ac:dyDescent="0.3">
      <c r="F168" s="4" t="s">
        <v>198</v>
      </c>
      <c r="G168" s="2">
        <v>28</v>
      </c>
      <c r="M168" s="4" t="s">
        <v>198</v>
      </c>
      <c r="N168" s="2">
        <v>35.214285714285715</v>
      </c>
      <c r="S168" s="4" t="s">
        <v>199</v>
      </c>
      <c r="T168" s="2">
        <v>5.125</v>
      </c>
    </row>
    <row r="169" spans="6:20" x14ac:dyDescent="0.3">
      <c r="F169" s="4" t="s">
        <v>199</v>
      </c>
      <c r="G169" s="2">
        <v>32</v>
      </c>
      <c r="M169" s="4" t="s">
        <v>199</v>
      </c>
      <c r="N169" s="2">
        <v>37.21875</v>
      </c>
      <c r="S169" s="4" t="s">
        <v>200</v>
      </c>
      <c r="T169" s="2">
        <v>5</v>
      </c>
    </row>
    <row r="170" spans="6:20" x14ac:dyDescent="0.3">
      <c r="F170" s="4" t="s">
        <v>200</v>
      </c>
      <c r="G170" s="2">
        <v>39</v>
      </c>
      <c r="M170" s="4" t="s">
        <v>200</v>
      </c>
      <c r="N170" s="2">
        <v>36.871794871794869</v>
      </c>
      <c r="S170" s="4" t="s">
        <v>201</v>
      </c>
      <c r="T170" s="2">
        <v>5.2222222222222223</v>
      </c>
    </row>
    <row r="171" spans="6:20" x14ac:dyDescent="0.3">
      <c r="F171" s="4" t="s">
        <v>201</v>
      </c>
      <c r="G171" s="2">
        <v>40</v>
      </c>
      <c r="M171" s="4" t="s">
        <v>201</v>
      </c>
      <c r="N171" s="2">
        <v>36.450000000000003</v>
      </c>
      <c r="S171" s="4" t="s">
        <v>202</v>
      </c>
      <c r="T171" s="2">
        <v>4.2222222222222223</v>
      </c>
    </row>
    <row r="172" spans="6:20" x14ac:dyDescent="0.3">
      <c r="F172" s="4" t="s">
        <v>202</v>
      </c>
      <c r="G172" s="2">
        <v>31</v>
      </c>
      <c r="M172" s="4" t="s">
        <v>202</v>
      </c>
      <c r="N172" s="2">
        <v>32.935483870967744</v>
      </c>
      <c r="S172" s="4" t="s">
        <v>203</v>
      </c>
      <c r="T172" s="2">
        <v>4.8571428571428568</v>
      </c>
    </row>
    <row r="173" spans="6:20" x14ac:dyDescent="0.3">
      <c r="F173" s="4" t="s">
        <v>203</v>
      </c>
      <c r="G173" s="2">
        <v>34</v>
      </c>
      <c r="M173" s="4" t="s">
        <v>203</v>
      </c>
      <c r="N173" s="2">
        <v>41.323529411764703</v>
      </c>
      <c r="S173" s="4" t="s">
        <v>204</v>
      </c>
      <c r="T173" s="2">
        <v>3.8888888888888888</v>
      </c>
    </row>
    <row r="174" spans="6:20" x14ac:dyDescent="0.3">
      <c r="F174" s="4" t="s">
        <v>204</v>
      </c>
      <c r="G174" s="2">
        <v>37</v>
      </c>
      <c r="M174" s="4" t="s">
        <v>204</v>
      </c>
      <c r="N174" s="2">
        <v>34.432432432432435</v>
      </c>
      <c r="S174" s="4" t="s">
        <v>205</v>
      </c>
      <c r="T174" s="2">
        <v>4</v>
      </c>
    </row>
    <row r="175" spans="6:20" x14ac:dyDescent="0.3">
      <c r="F175" s="4" t="s">
        <v>205</v>
      </c>
      <c r="G175" s="2">
        <v>30</v>
      </c>
      <c r="M175" s="4" t="s">
        <v>205</v>
      </c>
      <c r="N175" s="2">
        <v>36.966666666666669</v>
      </c>
      <c r="S175" s="4" t="s">
        <v>206</v>
      </c>
      <c r="T175" s="2">
        <v>5</v>
      </c>
    </row>
    <row r="176" spans="6:20" x14ac:dyDescent="0.3">
      <c r="F176" s="4" t="s">
        <v>206</v>
      </c>
      <c r="G176" s="2">
        <v>25</v>
      </c>
      <c r="M176" s="4" t="s">
        <v>206</v>
      </c>
      <c r="N176" s="2">
        <v>39.520000000000003</v>
      </c>
      <c r="S176" s="4" t="s">
        <v>207</v>
      </c>
      <c r="T176" s="2">
        <v>5.7777777777777777</v>
      </c>
    </row>
    <row r="177" spans="6:20" x14ac:dyDescent="0.3">
      <c r="F177" s="4" t="s">
        <v>207</v>
      </c>
      <c r="G177" s="2">
        <v>38</v>
      </c>
      <c r="M177" s="4" t="s">
        <v>207</v>
      </c>
      <c r="N177" s="2">
        <v>36.026315789473685</v>
      </c>
      <c r="S177" s="4" t="s">
        <v>208</v>
      </c>
      <c r="T177" s="2">
        <v>2.6</v>
      </c>
    </row>
    <row r="178" spans="6:20" x14ac:dyDescent="0.3">
      <c r="F178" s="4" t="s">
        <v>208</v>
      </c>
      <c r="G178" s="2">
        <v>27</v>
      </c>
      <c r="M178" s="4" t="s">
        <v>208</v>
      </c>
      <c r="N178" s="2">
        <v>32.370370370370374</v>
      </c>
      <c r="S178" s="4" t="s">
        <v>209</v>
      </c>
      <c r="T178" s="2">
        <v>6.5</v>
      </c>
    </row>
    <row r="179" spans="6:20" x14ac:dyDescent="0.3">
      <c r="F179" s="4" t="s">
        <v>209</v>
      </c>
      <c r="G179" s="2">
        <v>37</v>
      </c>
      <c r="M179" s="4" t="s">
        <v>209</v>
      </c>
      <c r="N179" s="2">
        <v>33.243243243243242</v>
      </c>
      <c r="S179" s="4" t="s">
        <v>210</v>
      </c>
      <c r="T179" s="2">
        <v>3.8181818181818183</v>
      </c>
    </row>
    <row r="180" spans="6:20" x14ac:dyDescent="0.3">
      <c r="F180" s="4" t="s">
        <v>210</v>
      </c>
      <c r="G180" s="2">
        <v>33</v>
      </c>
      <c r="M180" s="4" t="s">
        <v>210</v>
      </c>
      <c r="N180" s="2">
        <v>33.575757575757578</v>
      </c>
      <c r="S180" s="4" t="s">
        <v>211</v>
      </c>
      <c r="T180" s="2">
        <v>4.4000000000000004</v>
      </c>
    </row>
    <row r="181" spans="6:20" x14ac:dyDescent="0.3">
      <c r="F181" s="4" t="s">
        <v>211</v>
      </c>
      <c r="G181" s="2">
        <v>23</v>
      </c>
      <c r="M181" s="4" t="s">
        <v>211</v>
      </c>
      <c r="N181" s="2">
        <v>31.130434782608695</v>
      </c>
      <c r="S181" s="4" t="s">
        <v>212</v>
      </c>
      <c r="T181" s="2">
        <v>4.5</v>
      </c>
    </row>
    <row r="182" spans="6:20" x14ac:dyDescent="0.3">
      <c r="F182" s="4" t="s">
        <v>212</v>
      </c>
      <c r="G182" s="2">
        <v>27</v>
      </c>
      <c r="M182" s="4" t="s">
        <v>212</v>
      </c>
      <c r="N182" s="2">
        <v>36.888888888888886</v>
      </c>
      <c r="S182" s="4" t="s">
        <v>213</v>
      </c>
      <c r="T182" s="2">
        <v>4.625</v>
      </c>
    </row>
    <row r="183" spans="6:20" x14ac:dyDescent="0.3">
      <c r="F183" s="4" t="s">
        <v>213</v>
      </c>
      <c r="G183" s="2">
        <v>29</v>
      </c>
      <c r="M183" s="4" t="s">
        <v>213</v>
      </c>
      <c r="N183" s="2">
        <v>29.862068965517242</v>
      </c>
      <c r="S183" s="4" t="s">
        <v>214</v>
      </c>
      <c r="T183" s="2">
        <v>4.5</v>
      </c>
    </row>
    <row r="184" spans="6:20" x14ac:dyDescent="0.3">
      <c r="F184" s="4" t="s">
        <v>214</v>
      </c>
      <c r="G184" s="2">
        <v>38</v>
      </c>
      <c r="M184" s="4" t="s">
        <v>214</v>
      </c>
      <c r="N184" s="2">
        <v>36.526315789473685</v>
      </c>
      <c r="S184" s="4" t="s">
        <v>215</v>
      </c>
      <c r="T184" s="2">
        <v>5.833333333333333</v>
      </c>
    </row>
    <row r="185" spans="6:20" x14ac:dyDescent="0.3">
      <c r="F185" s="4" t="s">
        <v>215</v>
      </c>
      <c r="G185" s="2">
        <v>28</v>
      </c>
      <c r="M185" s="4" t="s">
        <v>215</v>
      </c>
      <c r="N185" s="2">
        <v>34.571428571428569</v>
      </c>
      <c r="S185" s="4" t="s">
        <v>216</v>
      </c>
      <c r="T185" s="2">
        <v>4.666666666666667</v>
      </c>
    </row>
    <row r="186" spans="6:20" x14ac:dyDescent="0.3">
      <c r="F186" s="4" t="s">
        <v>216</v>
      </c>
      <c r="G186" s="2">
        <v>36</v>
      </c>
      <c r="M186" s="4" t="s">
        <v>216</v>
      </c>
      <c r="N186" s="2">
        <v>38.5</v>
      </c>
      <c r="S186" s="4" t="s">
        <v>217</v>
      </c>
      <c r="T186" s="2">
        <v>4.666666666666667</v>
      </c>
    </row>
    <row r="187" spans="6:20" x14ac:dyDescent="0.3">
      <c r="F187" s="4" t="s">
        <v>217</v>
      </c>
      <c r="G187" s="2">
        <v>31</v>
      </c>
      <c r="M187" s="4" t="s">
        <v>217</v>
      </c>
      <c r="N187" s="2">
        <v>37.12903225806452</v>
      </c>
      <c r="S187" s="4" t="s">
        <v>218</v>
      </c>
      <c r="T187" s="2">
        <v>6.75</v>
      </c>
    </row>
    <row r="188" spans="6:20" x14ac:dyDescent="0.3">
      <c r="F188" s="4" t="s">
        <v>218</v>
      </c>
      <c r="G188" s="2">
        <v>34</v>
      </c>
      <c r="M188" s="4" t="s">
        <v>218</v>
      </c>
      <c r="N188" s="2">
        <v>33.852941176470587</v>
      </c>
      <c r="S188" s="4" t="s">
        <v>219</v>
      </c>
      <c r="T188" s="2">
        <v>5.7</v>
      </c>
    </row>
    <row r="189" spans="6:20" x14ac:dyDescent="0.3">
      <c r="F189" s="4" t="s">
        <v>219</v>
      </c>
      <c r="G189" s="2">
        <v>39</v>
      </c>
      <c r="M189" s="4" t="s">
        <v>219</v>
      </c>
      <c r="N189" s="2">
        <v>37.230769230769234</v>
      </c>
      <c r="S189" s="4" t="s">
        <v>220</v>
      </c>
      <c r="T189" s="2">
        <v>5.5</v>
      </c>
    </row>
    <row r="190" spans="6:20" x14ac:dyDescent="0.3">
      <c r="F190" s="4" t="s">
        <v>220</v>
      </c>
      <c r="G190" s="2">
        <v>40</v>
      </c>
      <c r="M190" s="4" t="s">
        <v>220</v>
      </c>
      <c r="N190" s="2">
        <v>36.075000000000003</v>
      </c>
      <c r="S190" s="4" t="s">
        <v>221</v>
      </c>
      <c r="T190" s="2">
        <v>6.2222222222222223</v>
      </c>
    </row>
    <row r="191" spans="6:20" x14ac:dyDescent="0.3">
      <c r="F191" s="4" t="s">
        <v>221</v>
      </c>
      <c r="G191" s="2">
        <v>31</v>
      </c>
      <c r="M191" s="4" t="s">
        <v>221</v>
      </c>
      <c r="N191" s="2">
        <v>34.354838709677416</v>
      </c>
      <c r="S191" s="4" t="s">
        <v>222</v>
      </c>
      <c r="T191" s="2">
        <v>5.833333333333333</v>
      </c>
    </row>
    <row r="192" spans="6:20" x14ac:dyDescent="0.3">
      <c r="F192" s="4" t="s">
        <v>222</v>
      </c>
      <c r="G192" s="2">
        <v>28</v>
      </c>
      <c r="M192" s="4" t="s">
        <v>222</v>
      </c>
      <c r="N192" s="2">
        <v>39.571428571428569</v>
      </c>
      <c r="S192" s="4" t="s">
        <v>223</v>
      </c>
      <c r="T192" s="2">
        <v>3.7</v>
      </c>
    </row>
    <row r="193" spans="6:20" x14ac:dyDescent="0.3">
      <c r="F193" s="4" t="s">
        <v>223</v>
      </c>
      <c r="G193" s="2">
        <v>32</v>
      </c>
      <c r="M193" s="4" t="s">
        <v>223</v>
      </c>
      <c r="N193" s="2">
        <v>37.53125</v>
      </c>
      <c r="S193" s="4" t="s">
        <v>224</v>
      </c>
      <c r="T193" s="2">
        <v>5.8</v>
      </c>
    </row>
    <row r="194" spans="6:20" x14ac:dyDescent="0.3">
      <c r="F194" s="4" t="s">
        <v>224</v>
      </c>
      <c r="G194" s="2">
        <v>28</v>
      </c>
      <c r="M194" s="4" t="s">
        <v>224</v>
      </c>
      <c r="N194" s="2">
        <v>31.357142857142858</v>
      </c>
      <c r="S194" s="4" t="s">
        <v>225</v>
      </c>
      <c r="T194" s="2">
        <v>4</v>
      </c>
    </row>
    <row r="195" spans="6:20" x14ac:dyDescent="0.3">
      <c r="F195" s="4" t="s">
        <v>225</v>
      </c>
      <c r="G195" s="2">
        <v>28</v>
      </c>
      <c r="M195" s="4" t="s">
        <v>225</v>
      </c>
      <c r="N195" s="2">
        <v>35.285714285714285</v>
      </c>
      <c r="S195" s="4" t="s">
        <v>226</v>
      </c>
      <c r="T195" s="2">
        <v>2</v>
      </c>
    </row>
    <row r="196" spans="6:20" x14ac:dyDescent="0.3">
      <c r="F196" s="4" t="s">
        <v>226</v>
      </c>
      <c r="G196" s="2">
        <v>25</v>
      </c>
      <c r="M196" s="4" t="s">
        <v>226</v>
      </c>
      <c r="N196" s="2">
        <v>34</v>
      </c>
      <c r="S196" s="4" t="s">
        <v>227</v>
      </c>
      <c r="T196" s="2">
        <v>6</v>
      </c>
    </row>
    <row r="197" spans="6:20" x14ac:dyDescent="0.3">
      <c r="F197" s="4" t="s">
        <v>227</v>
      </c>
      <c r="G197" s="2">
        <v>23</v>
      </c>
      <c r="M197" s="4" t="s">
        <v>227</v>
      </c>
      <c r="N197" s="2">
        <v>28.391304347826086</v>
      </c>
      <c r="S197" s="4" t="s">
        <v>228</v>
      </c>
      <c r="T197" s="2">
        <v>5</v>
      </c>
    </row>
    <row r="198" spans="6:20" x14ac:dyDescent="0.3">
      <c r="F198" s="4" t="s">
        <v>228</v>
      </c>
      <c r="G198" s="2">
        <v>22</v>
      </c>
      <c r="M198" s="4" t="s">
        <v>228</v>
      </c>
      <c r="N198" s="2">
        <v>36.545454545454547</v>
      </c>
      <c r="S198" s="4" t="s">
        <v>229</v>
      </c>
      <c r="T198" s="2">
        <v>5.1111111111111107</v>
      </c>
    </row>
    <row r="199" spans="6:20" x14ac:dyDescent="0.3">
      <c r="F199" s="4" t="s">
        <v>229</v>
      </c>
      <c r="G199" s="2">
        <v>33</v>
      </c>
      <c r="M199" s="4" t="s">
        <v>229</v>
      </c>
      <c r="N199" s="2">
        <v>33.939393939393938</v>
      </c>
      <c r="S199" s="4" t="s">
        <v>230</v>
      </c>
      <c r="T199" s="2">
        <v>3.8571428571428572</v>
      </c>
    </row>
    <row r="200" spans="6:20" x14ac:dyDescent="0.3">
      <c r="F200" s="4" t="s">
        <v>230</v>
      </c>
      <c r="G200" s="2">
        <v>31</v>
      </c>
      <c r="M200" s="4" t="s">
        <v>230</v>
      </c>
      <c r="N200" s="2">
        <v>38.516129032258064</v>
      </c>
      <c r="S200" s="4" t="s">
        <v>231</v>
      </c>
      <c r="T200" s="2">
        <v>6.5714285714285712</v>
      </c>
    </row>
    <row r="201" spans="6:20" x14ac:dyDescent="0.3">
      <c r="F201" s="4" t="s">
        <v>231</v>
      </c>
      <c r="G201" s="2">
        <v>35</v>
      </c>
      <c r="M201" s="4" t="s">
        <v>231</v>
      </c>
      <c r="N201" s="2">
        <v>34.74285714285714</v>
      </c>
      <c r="S201" s="4" t="s">
        <v>232</v>
      </c>
      <c r="T201" s="2">
        <v>5.2857142857142856</v>
      </c>
    </row>
    <row r="202" spans="6:20" x14ac:dyDescent="0.3">
      <c r="F202" s="4" t="s">
        <v>232</v>
      </c>
      <c r="G202" s="2">
        <v>30</v>
      </c>
      <c r="M202" s="4" t="s">
        <v>232</v>
      </c>
      <c r="N202" s="2">
        <v>34.5</v>
      </c>
      <c r="S202" s="4" t="s">
        <v>233</v>
      </c>
      <c r="T202" s="2">
        <v>5.5</v>
      </c>
    </row>
    <row r="203" spans="6:20" x14ac:dyDescent="0.3">
      <c r="F203" s="4" t="s">
        <v>233</v>
      </c>
      <c r="G203" s="2">
        <v>32</v>
      </c>
      <c r="M203" s="4" t="s">
        <v>233</v>
      </c>
      <c r="N203" s="2">
        <v>31.65625</v>
      </c>
      <c r="S203" s="4" t="s">
        <v>234</v>
      </c>
      <c r="T203" s="2">
        <v>4.8181818181818183</v>
      </c>
    </row>
    <row r="204" spans="6:20" x14ac:dyDescent="0.3">
      <c r="F204" s="4" t="s">
        <v>234</v>
      </c>
      <c r="G204" s="2">
        <v>39</v>
      </c>
      <c r="M204" s="4" t="s">
        <v>234</v>
      </c>
      <c r="N204" s="2">
        <v>37.384615384615387</v>
      </c>
      <c r="S204" s="4" t="s">
        <v>235</v>
      </c>
      <c r="T204" s="2">
        <v>5</v>
      </c>
    </row>
    <row r="205" spans="6:20" x14ac:dyDescent="0.3">
      <c r="F205" s="4" t="s">
        <v>235</v>
      </c>
      <c r="G205" s="2">
        <v>39</v>
      </c>
      <c r="M205" s="4" t="s">
        <v>235</v>
      </c>
      <c r="N205" s="2">
        <v>36.205128205128204</v>
      </c>
      <c r="S205" s="4" t="s">
        <v>236</v>
      </c>
      <c r="T205" s="2">
        <v>3.2222222222222223</v>
      </c>
    </row>
    <row r="206" spans="6:20" x14ac:dyDescent="0.3">
      <c r="F206" s="4" t="s">
        <v>236</v>
      </c>
      <c r="G206" s="2">
        <v>30</v>
      </c>
      <c r="M206" s="4" t="s">
        <v>236</v>
      </c>
      <c r="N206" s="2">
        <v>35.6</v>
      </c>
      <c r="S206" s="4" t="s">
        <v>237</v>
      </c>
      <c r="T206" s="2">
        <v>6.333333333333333</v>
      </c>
    </row>
    <row r="207" spans="6:20" x14ac:dyDescent="0.3">
      <c r="F207" s="4" t="s">
        <v>237</v>
      </c>
      <c r="G207" s="2">
        <v>29</v>
      </c>
      <c r="M207" s="4" t="s">
        <v>237</v>
      </c>
      <c r="N207" s="2">
        <v>31.068965517241381</v>
      </c>
      <c r="S207" s="4" t="s">
        <v>238</v>
      </c>
      <c r="T207" s="2">
        <v>3.8</v>
      </c>
    </row>
    <row r="208" spans="6:20" x14ac:dyDescent="0.3">
      <c r="F208" s="4" t="s">
        <v>238</v>
      </c>
      <c r="G208" s="2">
        <v>34</v>
      </c>
      <c r="M208" s="4" t="s">
        <v>238</v>
      </c>
      <c r="N208" s="2">
        <v>33</v>
      </c>
      <c r="S208" s="4" t="s">
        <v>239</v>
      </c>
      <c r="T208" s="2">
        <v>3.1111111111111112</v>
      </c>
    </row>
    <row r="209" spans="6:20" x14ac:dyDescent="0.3">
      <c r="F209" s="4" t="s">
        <v>239</v>
      </c>
      <c r="G209" s="2">
        <v>30</v>
      </c>
      <c r="M209" s="4" t="s">
        <v>239</v>
      </c>
      <c r="N209" s="2">
        <v>36.233333333333334</v>
      </c>
      <c r="S209" s="4" t="s">
        <v>240</v>
      </c>
      <c r="T209" s="2">
        <v>2.8333333333333335</v>
      </c>
    </row>
    <row r="210" spans="6:20" x14ac:dyDescent="0.3">
      <c r="F210" s="4" t="s">
        <v>240</v>
      </c>
      <c r="G210" s="2">
        <v>28</v>
      </c>
      <c r="M210" s="4" t="s">
        <v>240</v>
      </c>
      <c r="N210" s="2">
        <v>37.142857142857146</v>
      </c>
      <c r="S210" s="4" t="s">
        <v>241</v>
      </c>
      <c r="T210" s="2">
        <v>6.625</v>
      </c>
    </row>
    <row r="211" spans="6:20" x14ac:dyDescent="0.3">
      <c r="F211" s="4" t="s">
        <v>241</v>
      </c>
      <c r="G211" s="2">
        <v>33</v>
      </c>
      <c r="M211" s="4" t="s">
        <v>241</v>
      </c>
      <c r="N211" s="2">
        <v>34.666666666666664</v>
      </c>
      <c r="S211" s="4" t="s">
        <v>242</v>
      </c>
      <c r="T211" s="2">
        <v>3.5</v>
      </c>
    </row>
    <row r="212" spans="6:20" x14ac:dyDescent="0.3">
      <c r="F212" s="4" t="s">
        <v>242</v>
      </c>
      <c r="G212" s="2">
        <v>30</v>
      </c>
      <c r="M212" s="4" t="s">
        <v>242</v>
      </c>
      <c r="N212" s="2">
        <v>36.033333333333331</v>
      </c>
      <c r="S212" s="4" t="s">
        <v>243</v>
      </c>
      <c r="T212" s="2">
        <v>5.166666666666667</v>
      </c>
    </row>
    <row r="213" spans="6:20" x14ac:dyDescent="0.3">
      <c r="F213" s="4" t="s">
        <v>243</v>
      </c>
      <c r="G213" s="2">
        <v>31</v>
      </c>
      <c r="M213" s="4" t="s">
        <v>243</v>
      </c>
      <c r="N213" s="2">
        <v>33.838709677419352</v>
      </c>
      <c r="S213" s="4" t="s">
        <v>244</v>
      </c>
      <c r="T213" s="2">
        <v>5.333333333333333</v>
      </c>
    </row>
    <row r="214" spans="6:20" x14ac:dyDescent="0.3">
      <c r="F214" s="4" t="s">
        <v>244</v>
      </c>
      <c r="G214" s="2">
        <v>27</v>
      </c>
      <c r="M214" s="4" t="s">
        <v>244</v>
      </c>
      <c r="N214" s="2">
        <v>34.592592592592595</v>
      </c>
      <c r="S214" s="4" t="s">
        <v>245</v>
      </c>
      <c r="T214" s="2">
        <v>4.875</v>
      </c>
    </row>
    <row r="215" spans="6:20" x14ac:dyDescent="0.3">
      <c r="F215" s="4" t="s">
        <v>245</v>
      </c>
      <c r="G215" s="2">
        <v>32</v>
      </c>
      <c r="M215" s="4" t="s">
        <v>245</v>
      </c>
      <c r="N215" s="2">
        <v>34.4375</v>
      </c>
      <c r="S215" s="4" t="s">
        <v>246</v>
      </c>
      <c r="T215" s="2">
        <v>4.5</v>
      </c>
    </row>
    <row r="216" spans="6:20" x14ac:dyDescent="0.3">
      <c r="F216" s="4" t="s">
        <v>246</v>
      </c>
      <c r="G216" s="2">
        <v>29</v>
      </c>
      <c r="M216" s="4" t="s">
        <v>246</v>
      </c>
      <c r="N216" s="2">
        <v>36.172413793103445</v>
      </c>
      <c r="S216" s="4" t="s">
        <v>247</v>
      </c>
      <c r="T216" s="2">
        <v>4.625</v>
      </c>
    </row>
    <row r="217" spans="6:20" x14ac:dyDescent="0.3">
      <c r="F217" s="4" t="s">
        <v>247</v>
      </c>
      <c r="G217" s="2">
        <v>29</v>
      </c>
      <c r="M217" s="4" t="s">
        <v>247</v>
      </c>
      <c r="N217" s="2">
        <v>34.758620689655174</v>
      </c>
      <c r="S217" s="4" t="s">
        <v>248</v>
      </c>
      <c r="T217" s="2">
        <v>5</v>
      </c>
    </row>
    <row r="218" spans="6:20" x14ac:dyDescent="0.3">
      <c r="F218" s="4" t="s">
        <v>248</v>
      </c>
      <c r="G218" s="2">
        <v>29</v>
      </c>
      <c r="M218" s="4" t="s">
        <v>248</v>
      </c>
      <c r="N218" s="2">
        <v>37.241379310344826</v>
      </c>
      <c r="S218" s="4" t="s">
        <v>249</v>
      </c>
      <c r="T218" s="2">
        <v>6.8181818181818183</v>
      </c>
    </row>
    <row r="219" spans="6:20" x14ac:dyDescent="0.3">
      <c r="F219" s="4" t="s">
        <v>249</v>
      </c>
      <c r="G219" s="2">
        <v>30</v>
      </c>
      <c r="M219" s="4" t="s">
        <v>249</v>
      </c>
      <c r="N219" s="2">
        <v>33.9</v>
      </c>
      <c r="S219" s="4" t="s">
        <v>250</v>
      </c>
      <c r="T219" s="2">
        <v>6.375</v>
      </c>
    </row>
    <row r="220" spans="6:20" x14ac:dyDescent="0.3">
      <c r="F220" s="4" t="s">
        <v>250</v>
      </c>
      <c r="G220" s="2">
        <v>32</v>
      </c>
      <c r="M220" s="4" t="s">
        <v>250</v>
      </c>
      <c r="N220" s="2">
        <v>35.4375</v>
      </c>
      <c r="S220" s="4" t="s">
        <v>251</v>
      </c>
      <c r="T220" s="2">
        <v>4.615384615384615</v>
      </c>
    </row>
    <row r="221" spans="6:20" x14ac:dyDescent="0.3">
      <c r="F221" s="4" t="s">
        <v>251</v>
      </c>
      <c r="G221" s="2">
        <v>39</v>
      </c>
      <c r="M221" s="4" t="s">
        <v>251</v>
      </c>
      <c r="N221" s="2">
        <v>36.820512820512818</v>
      </c>
      <c r="S221" s="4" t="s">
        <v>252</v>
      </c>
      <c r="T221" s="2">
        <v>5.5454545454545459</v>
      </c>
    </row>
    <row r="222" spans="6:20" x14ac:dyDescent="0.3">
      <c r="F222" s="4" t="s">
        <v>252</v>
      </c>
      <c r="G222" s="2">
        <v>32</v>
      </c>
      <c r="M222" s="4" t="s">
        <v>252</v>
      </c>
      <c r="N222" s="2">
        <v>31.3125</v>
      </c>
      <c r="S222" s="4" t="s">
        <v>253</v>
      </c>
      <c r="T222" s="2">
        <v>6.9090909090909092</v>
      </c>
    </row>
    <row r="223" spans="6:20" x14ac:dyDescent="0.3">
      <c r="F223" s="4" t="s">
        <v>253</v>
      </c>
      <c r="G223" s="2">
        <v>31</v>
      </c>
      <c r="M223" s="4" t="s">
        <v>253</v>
      </c>
      <c r="N223" s="2">
        <v>39.064516129032256</v>
      </c>
      <c r="S223" s="4" t="s">
        <v>254</v>
      </c>
      <c r="T223" s="2">
        <v>5.2</v>
      </c>
    </row>
    <row r="224" spans="6:20" x14ac:dyDescent="0.3">
      <c r="F224" s="4" t="s">
        <v>254</v>
      </c>
      <c r="G224" s="2">
        <v>42</v>
      </c>
      <c r="M224" s="4" t="s">
        <v>254</v>
      </c>
      <c r="N224" s="2">
        <v>35.428571428571431</v>
      </c>
      <c r="S224" s="4" t="s">
        <v>255</v>
      </c>
      <c r="T224" s="2">
        <v>4.4444444444444446</v>
      </c>
    </row>
    <row r="225" spans="6:20" x14ac:dyDescent="0.3">
      <c r="F225" s="4" t="s">
        <v>255</v>
      </c>
      <c r="G225" s="2">
        <v>34</v>
      </c>
      <c r="M225" s="4" t="s">
        <v>255</v>
      </c>
      <c r="N225" s="2">
        <v>34.794117647058826</v>
      </c>
      <c r="S225" s="4" t="s">
        <v>256</v>
      </c>
      <c r="T225" s="2">
        <v>6.2727272727272725</v>
      </c>
    </row>
    <row r="226" spans="6:20" x14ac:dyDescent="0.3">
      <c r="F226" s="4" t="s">
        <v>256</v>
      </c>
      <c r="G226" s="2">
        <v>31</v>
      </c>
      <c r="M226" s="4" t="s">
        <v>256</v>
      </c>
      <c r="N226" s="2">
        <v>37.032258064516128</v>
      </c>
      <c r="S226" s="4" t="s">
        <v>257</v>
      </c>
      <c r="T226" s="2">
        <v>4.5999999999999996</v>
      </c>
    </row>
    <row r="227" spans="6:20" x14ac:dyDescent="0.3">
      <c r="F227" s="4" t="s">
        <v>257</v>
      </c>
      <c r="G227" s="2">
        <v>29</v>
      </c>
      <c r="M227" s="4" t="s">
        <v>257</v>
      </c>
      <c r="N227" s="2">
        <v>39.862068965517238</v>
      </c>
      <c r="S227" s="4" t="s">
        <v>258</v>
      </c>
      <c r="T227" s="2">
        <v>5.5</v>
      </c>
    </row>
    <row r="228" spans="6:20" x14ac:dyDescent="0.3">
      <c r="F228" s="4" t="s">
        <v>258</v>
      </c>
      <c r="G228" s="2">
        <v>42</v>
      </c>
      <c r="M228" s="4" t="s">
        <v>258</v>
      </c>
      <c r="N228" s="2">
        <v>36.166666666666664</v>
      </c>
      <c r="S228" s="4" t="s">
        <v>259</v>
      </c>
      <c r="T228" s="2">
        <v>5.4285714285714288</v>
      </c>
    </row>
    <row r="229" spans="6:20" x14ac:dyDescent="0.3">
      <c r="F229" s="4" t="s">
        <v>259</v>
      </c>
      <c r="G229" s="2">
        <v>22</v>
      </c>
      <c r="M229" s="4" t="s">
        <v>259</v>
      </c>
      <c r="N229" s="2">
        <v>30.40909090909091</v>
      </c>
      <c r="S229" s="4" t="s">
        <v>260</v>
      </c>
      <c r="T229" s="2">
        <v>9.5</v>
      </c>
    </row>
    <row r="230" spans="6:20" x14ac:dyDescent="0.3">
      <c r="F230" s="4" t="s">
        <v>260</v>
      </c>
      <c r="G230" s="2">
        <v>28</v>
      </c>
      <c r="M230" s="4" t="s">
        <v>260</v>
      </c>
      <c r="N230" s="2">
        <v>40</v>
      </c>
      <c r="S230" s="4" t="s">
        <v>261</v>
      </c>
      <c r="T230" s="2">
        <v>2.1666666666666665</v>
      </c>
    </row>
    <row r="231" spans="6:20" x14ac:dyDescent="0.3">
      <c r="F231" s="4" t="s">
        <v>261</v>
      </c>
      <c r="G231" s="2">
        <v>31</v>
      </c>
      <c r="M231" s="4" t="s">
        <v>261</v>
      </c>
      <c r="N231" s="2">
        <v>31.677419354838708</v>
      </c>
      <c r="S231" s="4" t="s">
        <v>262</v>
      </c>
      <c r="T231" s="2">
        <v>5.333333333333333</v>
      </c>
    </row>
    <row r="232" spans="6:20" x14ac:dyDescent="0.3">
      <c r="F232" s="4" t="s">
        <v>262</v>
      </c>
      <c r="G232" s="2">
        <v>24</v>
      </c>
      <c r="M232" s="4" t="s">
        <v>262</v>
      </c>
      <c r="N232" s="2">
        <v>29.791666666666668</v>
      </c>
      <c r="S232" s="4" t="s">
        <v>263</v>
      </c>
      <c r="T232" s="2">
        <v>4.1428571428571432</v>
      </c>
    </row>
    <row r="233" spans="6:20" x14ac:dyDescent="0.3">
      <c r="F233" s="4" t="s">
        <v>263</v>
      </c>
      <c r="G233" s="2">
        <v>48</v>
      </c>
      <c r="M233" s="4" t="s">
        <v>263</v>
      </c>
      <c r="N233" s="2">
        <v>36.833333333333336</v>
      </c>
      <c r="S233" s="4" t="s">
        <v>264</v>
      </c>
      <c r="T233" s="2">
        <v>2.75</v>
      </c>
    </row>
    <row r="234" spans="6:20" x14ac:dyDescent="0.3">
      <c r="F234" s="4" t="s">
        <v>264</v>
      </c>
      <c r="G234" s="2">
        <v>32</v>
      </c>
      <c r="M234" s="4" t="s">
        <v>264</v>
      </c>
      <c r="N234" s="2">
        <v>33.96875</v>
      </c>
      <c r="S234" s="4" t="s">
        <v>265</v>
      </c>
      <c r="T234" s="2">
        <v>4.4000000000000004</v>
      </c>
    </row>
    <row r="235" spans="6:20" x14ac:dyDescent="0.3">
      <c r="F235" s="4" t="s">
        <v>265</v>
      </c>
      <c r="G235" s="2">
        <v>37</v>
      </c>
      <c r="M235" s="4" t="s">
        <v>265</v>
      </c>
      <c r="N235" s="2">
        <v>35.864864864864863</v>
      </c>
      <c r="S235" s="4" t="s">
        <v>266</v>
      </c>
      <c r="T235" s="2">
        <v>5.5</v>
      </c>
    </row>
    <row r="236" spans="6:20" x14ac:dyDescent="0.3">
      <c r="F236" s="4" t="s">
        <v>266</v>
      </c>
      <c r="G236" s="2">
        <v>30</v>
      </c>
      <c r="M236" s="4" t="s">
        <v>266</v>
      </c>
      <c r="N236" s="2">
        <v>37.833333333333336</v>
      </c>
      <c r="S236" s="4" t="s">
        <v>267</v>
      </c>
      <c r="T236" s="2">
        <v>6.4</v>
      </c>
    </row>
    <row r="237" spans="6:20" x14ac:dyDescent="0.3">
      <c r="F237" s="4" t="s">
        <v>267</v>
      </c>
      <c r="G237" s="2">
        <v>27</v>
      </c>
      <c r="M237" s="4" t="s">
        <v>267</v>
      </c>
      <c r="N237" s="2">
        <v>36.296296296296298</v>
      </c>
      <c r="S237" s="4" t="s">
        <v>268</v>
      </c>
      <c r="T237" s="2">
        <v>5.25</v>
      </c>
    </row>
    <row r="238" spans="6:20" x14ac:dyDescent="0.3">
      <c r="F238" s="4" t="s">
        <v>268</v>
      </c>
      <c r="G238" s="2">
        <v>32</v>
      </c>
      <c r="M238" s="4" t="s">
        <v>268</v>
      </c>
      <c r="N238" s="2">
        <v>36.375</v>
      </c>
      <c r="S238" s="4" t="s">
        <v>269</v>
      </c>
      <c r="T238" s="2">
        <v>6</v>
      </c>
    </row>
    <row r="239" spans="6:20" x14ac:dyDescent="0.3">
      <c r="F239" s="4" t="s">
        <v>269</v>
      </c>
      <c r="G239" s="2">
        <v>33</v>
      </c>
      <c r="M239" s="4" t="s">
        <v>269</v>
      </c>
      <c r="N239" s="2">
        <v>36</v>
      </c>
      <c r="S239" s="4" t="s">
        <v>270</v>
      </c>
      <c r="T239" s="2">
        <v>5.1428571428571432</v>
      </c>
    </row>
    <row r="240" spans="6:20" x14ac:dyDescent="0.3">
      <c r="F240" s="4" t="s">
        <v>270</v>
      </c>
      <c r="G240" s="2">
        <v>37</v>
      </c>
      <c r="M240" s="4" t="s">
        <v>270</v>
      </c>
      <c r="N240" s="2">
        <v>37.189189189189186</v>
      </c>
      <c r="S240" s="4" t="s">
        <v>271</v>
      </c>
      <c r="T240" s="2">
        <v>5.25</v>
      </c>
    </row>
    <row r="241" spans="6:20" x14ac:dyDescent="0.3">
      <c r="F241" s="4" t="s">
        <v>271</v>
      </c>
      <c r="G241" s="2">
        <v>33</v>
      </c>
      <c r="M241" s="4" t="s">
        <v>271</v>
      </c>
      <c r="N241" s="2">
        <v>34.666666666666664</v>
      </c>
      <c r="S241" s="4" t="s">
        <v>272</v>
      </c>
      <c r="T241" s="2">
        <v>6</v>
      </c>
    </row>
    <row r="242" spans="6:20" x14ac:dyDescent="0.3">
      <c r="F242" s="4" t="s">
        <v>272</v>
      </c>
      <c r="G242" s="2">
        <v>35</v>
      </c>
      <c r="M242" s="4" t="s">
        <v>272</v>
      </c>
      <c r="N242" s="2">
        <v>33</v>
      </c>
      <c r="S242" s="4" t="s">
        <v>273</v>
      </c>
      <c r="T242" s="2">
        <v>5.4375</v>
      </c>
    </row>
    <row r="243" spans="6:20" x14ac:dyDescent="0.3">
      <c r="F243" s="4" t="s">
        <v>273</v>
      </c>
      <c r="G243" s="2">
        <v>45</v>
      </c>
      <c r="M243" s="4" t="s">
        <v>273</v>
      </c>
      <c r="N243" s="2">
        <v>39.777777777777779</v>
      </c>
      <c r="S243" s="4" t="s">
        <v>274</v>
      </c>
      <c r="T243" s="2">
        <v>4.5</v>
      </c>
    </row>
    <row r="244" spans="6:20" x14ac:dyDescent="0.3">
      <c r="F244" s="4" t="s">
        <v>274</v>
      </c>
      <c r="G244" s="2">
        <v>26</v>
      </c>
      <c r="M244" s="4" t="s">
        <v>274</v>
      </c>
      <c r="N244" s="2">
        <v>33.57692307692308</v>
      </c>
      <c r="S244" s="4" t="s">
        <v>275</v>
      </c>
      <c r="T244" s="2">
        <v>4.7142857142857144</v>
      </c>
    </row>
    <row r="245" spans="6:20" x14ac:dyDescent="0.3">
      <c r="F245" s="4" t="s">
        <v>275</v>
      </c>
      <c r="G245" s="2">
        <v>24</v>
      </c>
      <c r="M245" s="4" t="s">
        <v>275</v>
      </c>
      <c r="N245" s="2">
        <v>37.208333333333336</v>
      </c>
      <c r="S245" s="4" t="s">
        <v>276</v>
      </c>
      <c r="T245" s="2">
        <v>7.375</v>
      </c>
    </row>
    <row r="246" spans="6:20" x14ac:dyDescent="0.3">
      <c r="F246" s="4" t="s">
        <v>276</v>
      </c>
      <c r="G246" s="2">
        <v>34</v>
      </c>
      <c r="M246" s="4" t="s">
        <v>276</v>
      </c>
      <c r="N246" s="2">
        <v>36.882352941176471</v>
      </c>
      <c r="S246" s="4" t="s">
        <v>277</v>
      </c>
      <c r="T246" s="2">
        <v>4.1428571428571432</v>
      </c>
    </row>
    <row r="247" spans="6:20" x14ac:dyDescent="0.3">
      <c r="F247" s="4" t="s">
        <v>277</v>
      </c>
      <c r="G247" s="2">
        <v>31</v>
      </c>
      <c r="M247" s="4" t="s">
        <v>277</v>
      </c>
      <c r="N247" s="2">
        <v>37.612903225806448</v>
      </c>
      <c r="S247" s="4" t="s">
        <v>278</v>
      </c>
      <c r="T247" s="2">
        <v>5.2222222222222223</v>
      </c>
    </row>
    <row r="248" spans="6:20" x14ac:dyDescent="0.3">
      <c r="F248" s="4" t="s">
        <v>278</v>
      </c>
      <c r="G248" s="2">
        <v>42</v>
      </c>
      <c r="M248" s="4" t="s">
        <v>278</v>
      </c>
      <c r="N248" s="2">
        <v>33.357142857142854</v>
      </c>
      <c r="S248" s="4" t="s">
        <v>279</v>
      </c>
      <c r="T248" s="2">
        <v>3.375</v>
      </c>
    </row>
    <row r="249" spans="6:20" x14ac:dyDescent="0.3">
      <c r="F249" s="4" t="s">
        <v>279</v>
      </c>
      <c r="G249" s="2">
        <v>31</v>
      </c>
      <c r="M249" s="4" t="s">
        <v>279</v>
      </c>
      <c r="N249" s="2">
        <v>33.967741935483872</v>
      </c>
      <c r="S249" s="4" t="s">
        <v>280</v>
      </c>
      <c r="T249" s="2">
        <v>6</v>
      </c>
    </row>
    <row r="250" spans="6:20" x14ac:dyDescent="0.3">
      <c r="F250" s="4" t="s">
        <v>280</v>
      </c>
      <c r="G250" s="2">
        <v>34</v>
      </c>
      <c r="M250" s="4" t="s">
        <v>280</v>
      </c>
      <c r="N250" s="2">
        <v>36.5</v>
      </c>
      <c r="S250" s="4" t="s">
        <v>281</v>
      </c>
      <c r="T250" s="2">
        <v>5.6</v>
      </c>
    </row>
    <row r="251" spans="6:20" x14ac:dyDescent="0.3">
      <c r="F251" s="4" t="s">
        <v>281</v>
      </c>
      <c r="G251" s="2">
        <v>38</v>
      </c>
      <c r="M251" s="4" t="s">
        <v>281</v>
      </c>
      <c r="N251" s="2">
        <v>35.55263157894737</v>
      </c>
      <c r="S251" s="4" t="s">
        <v>282</v>
      </c>
      <c r="T251" s="2">
        <v>3.75</v>
      </c>
    </row>
    <row r="252" spans="6:20" x14ac:dyDescent="0.3">
      <c r="F252" s="4" t="s">
        <v>282</v>
      </c>
      <c r="G252" s="2">
        <v>39</v>
      </c>
      <c r="M252" s="4" t="s">
        <v>282</v>
      </c>
      <c r="N252" s="2">
        <v>33.051282051282051</v>
      </c>
      <c r="S252" s="4" t="s">
        <v>283</v>
      </c>
      <c r="T252" s="2">
        <v>4.8571428571428568</v>
      </c>
    </row>
    <row r="253" spans="6:20" x14ac:dyDescent="0.3">
      <c r="F253" s="4" t="s">
        <v>283</v>
      </c>
      <c r="G253" s="2">
        <v>25</v>
      </c>
      <c r="M253" s="4" t="s">
        <v>283</v>
      </c>
      <c r="N253" s="2">
        <v>36.68</v>
      </c>
      <c r="S253" s="4" t="s">
        <v>284</v>
      </c>
      <c r="T253" s="2">
        <v>5.5</v>
      </c>
    </row>
    <row r="254" spans="6:20" x14ac:dyDescent="0.3">
      <c r="F254" s="4" t="s">
        <v>284</v>
      </c>
      <c r="G254" s="2">
        <v>28</v>
      </c>
      <c r="M254" s="4" t="s">
        <v>284</v>
      </c>
      <c r="N254" s="2">
        <v>37.714285714285715</v>
      </c>
      <c r="S254" s="4" t="s">
        <v>285</v>
      </c>
      <c r="T254" s="2">
        <v>4</v>
      </c>
    </row>
    <row r="255" spans="6:20" x14ac:dyDescent="0.3">
      <c r="F255" s="4" t="s">
        <v>285</v>
      </c>
      <c r="G255" s="2">
        <v>35</v>
      </c>
      <c r="M255" s="4" t="s">
        <v>285</v>
      </c>
      <c r="N255" s="2">
        <v>36.057142857142857</v>
      </c>
      <c r="S255" s="4" t="s">
        <v>286</v>
      </c>
      <c r="T255" s="2">
        <v>4.625</v>
      </c>
    </row>
    <row r="256" spans="6:20" x14ac:dyDescent="0.3">
      <c r="F256" s="4" t="s">
        <v>286</v>
      </c>
      <c r="G256" s="2">
        <v>35</v>
      </c>
      <c r="M256" s="4" t="s">
        <v>286</v>
      </c>
      <c r="N256" s="2">
        <v>35.828571428571429</v>
      </c>
      <c r="S256" s="4" t="s">
        <v>287</v>
      </c>
      <c r="T256" s="2">
        <v>3.75</v>
      </c>
    </row>
    <row r="257" spans="6:20" x14ac:dyDescent="0.3">
      <c r="F257" s="4" t="s">
        <v>287</v>
      </c>
      <c r="G257" s="2">
        <v>37</v>
      </c>
      <c r="M257" s="4" t="s">
        <v>287</v>
      </c>
      <c r="N257" s="2">
        <v>35.297297297297298</v>
      </c>
      <c r="S257" s="4" t="s">
        <v>288</v>
      </c>
      <c r="T257" s="2">
        <v>6.333333333333333</v>
      </c>
    </row>
    <row r="258" spans="6:20" x14ac:dyDescent="0.3">
      <c r="F258" s="4" t="s">
        <v>288</v>
      </c>
      <c r="G258" s="2">
        <v>31</v>
      </c>
      <c r="M258" s="4" t="s">
        <v>288</v>
      </c>
      <c r="N258" s="2">
        <v>33</v>
      </c>
      <c r="S258" s="4" t="s">
        <v>289</v>
      </c>
      <c r="T258" s="2">
        <v>6.4</v>
      </c>
    </row>
    <row r="259" spans="6:20" x14ac:dyDescent="0.3">
      <c r="F259" s="4" t="s">
        <v>289</v>
      </c>
      <c r="G259" s="2">
        <v>24</v>
      </c>
      <c r="M259" s="4" t="s">
        <v>289</v>
      </c>
      <c r="N259" s="2">
        <v>38.958333333333336</v>
      </c>
      <c r="S259" s="4" t="s">
        <v>290</v>
      </c>
      <c r="T259" s="2">
        <v>5.0999999999999996</v>
      </c>
    </row>
    <row r="260" spans="6:20" x14ac:dyDescent="0.3">
      <c r="F260" s="4" t="s">
        <v>290</v>
      </c>
      <c r="G260" s="2">
        <v>28</v>
      </c>
      <c r="M260" s="4" t="s">
        <v>290</v>
      </c>
      <c r="N260" s="2">
        <v>37.428571428571431</v>
      </c>
      <c r="S260" s="4" t="s">
        <v>291</v>
      </c>
      <c r="T260" s="2">
        <v>4.1428571428571432</v>
      </c>
    </row>
    <row r="261" spans="6:20" x14ac:dyDescent="0.3">
      <c r="F261" s="4" t="s">
        <v>291</v>
      </c>
      <c r="G261" s="2">
        <v>29</v>
      </c>
      <c r="M261" s="4" t="s">
        <v>291</v>
      </c>
      <c r="N261" s="2">
        <v>36.068965517241381</v>
      </c>
      <c r="S261" s="4" t="s">
        <v>292</v>
      </c>
      <c r="T261" s="2">
        <v>5.8</v>
      </c>
    </row>
    <row r="262" spans="6:20" x14ac:dyDescent="0.3">
      <c r="F262" s="4" t="s">
        <v>292</v>
      </c>
      <c r="G262" s="2">
        <v>34</v>
      </c>
      <c r="M262" s="4" t="s">
        <v>292</v>
      </c>
      <c r="N262" s="2">
        <v>32.235294117647058</v>
      </c>
      <c r="S262" s="4" t="s">
        <v>293</v>
      </c>
      <c r="T262" s="2">
        <v>3.8333333333333335</v>
      </c>
    </row>
    <row r="263" spans="6:20" x14ac:dyDescent="0.3">
      <c r="F263" s="4" t="s">
        <v>293</v>
      </c>
      <c r="G263" s="2">
        <v>32</v>
      </c>
      <c r="M263" s="4" t="s">
        <v>293</v>
      </c>
      <c r="N263" s="2">
        <v>37.71875</v>
      </c>
      <c r="S263" s="4" t="s">
        <v>294</v>
      </c>
      <c r="T263" s="2">
        <v>4</v>
      </c>
    </row>
    <row r="264" spans="6:20" x14ac:dyDescent="0.3">
      <c r="F264" s="4" t="s">
        <v>294</v>
      </c>
      <c r="G264" s="2">
        <v>29</v>
      </c>
      <c r="M264" s="4" t="s">
        <v>294</v>
      </c>
      <c r="N264" s="2">
        <v>31.275862068965516</v>
      </c>
      <c r="S264" s="4" t="s">
        <v>295</v>
      </c>
      <c r="T264" s="2">
        <v>6.833333333333333</v>
      </c>
    </row>
    <row r="265" spans="6:20" x14ac:dyDescent="0.3">
      <c r="F265" s="4" t="s">
        <v>295</v>
      </c>
      <c r="G265" s="2">
        <v>21</v>
      </c>
      <c r="M265" s="4" t="s">
        <v>295</v>
      </c>
      <c r="N265" s="2">
        <v>35.857142857142854</v>
      </c>
      <c r="S265" s="4" t="s">
        <v>296</v>
      </c>
      <c r="T265" s="2">
        <v>4.833333333333333</v>
      </c>
    </row>
    <row r="266" spans="6:20" x14ac:dyDescent="0.3">
      <c r="F266" s="4" t="s">
        <v>296</v>
      </c>
      <c r="G266" s="2">
        <v>29</v>
      </c>
      <c r="M266" s="4" t="s">
        <v>296</v>
      </c>
      <c r="N266" s="2">
        <v>33.068965517241381</v>
      </c>
      <c r="S266" s="4" t="s">
        <v>297</v>
      </c>
      <c r="T266" s="2">
        <v>4</v>
      </c>
    </row>
    <row r="267" spans="6:20" x14ac:dyDescent="0.3">
      <c r="F267" s="4" t="s">
        <v>297</v>
      </c>
      <c r="G267" s="2">
        <v>24</v>
      </c>
      <c r="M267" s="4" t="s">
        <v>297</v>
      </c>
      <c r="N267" s="2">
        <v>34.708333333333336</v>
      </c>
      <c r="S267" s="4" t="s">
        <v>298</v>
      </c>
      <c r="T267" s="2">
        <v>5.7142857142857144</v>
      </c>
    </row>
    <row r="268" spans="6:20" x14ac:dyDescent="0.3">
      <c r="F268" s="4" t="s">
        <v>298</v>
      </c>
      <c r="G268" s="2">
        <v>28</v>
      </c>
      <c r="M268" s="4" t="s">
        <v>298</v>
      </c>
      <c r="N268" s="2">
        <v>35.357142857142854</v>
      </c>
      <c r="S268" s="4" t="s">
        <v>299</v>
      </c>
      <c r="T268" s="2">
        <v>4.384615384615385</v>
      </c>
    </row>
    <row r="269" spans="6:20" x14ac:dyDescent="0.3">
      <c r="F269" s="4" t="s">
        <v>299</v>
      </c>
      <c r="G269" s="2">
        <v>44</v>
      </c>
      <c r="M269" s="4" t="s">
        <v>299</v>
      </c>
      <c r="N269" s="2">
        <v>37.613636363636367</v>
      </c>
      <c r="S269" s="4" t="s">
        <v>300</v>
      </c>
      <c r="T269" s="2">
        <v>5.5</v>
      </c>
    </row>
    <row r="270" spans="6:20" x14ac:dyDescent="0.3">
      <c r="F270" s="4" t="s">
        <v>300</v>
      </c>
      <c r="G270" s="2">
        <v>35</v>
      </c>
      <c r="M270" s="4" t="s">
        <v>300</v>
      </c>
      <c r="N270" s="2">
        <v>33.514285714285712</v>
      </c>
      <c r="S270" s="4" t="s">
        <v>301</v>
      </c>
      <c r="T270" s="2">
        <v>5.8888888888888893</v>
      </c>
    </row>
    <row r="271" spans="6:20" x14ac:dyDescent="0.3">
      <c r="F271" s="4" t="s">
        <v>301</v>
      </c>
      <c r="G271" s="2">
        <v>38</v>
      </c>
      <c r="M271" s="4" t="s">
        <v>301</v>
      </c>
      <c r="N271" s="2">
        <v>32.131578947368418</v>
      </c>
      <c r="S271" s="4" t="s">
        <v>302</v>
      </c>
      <c r="T271" s="2">
        <v>6.1818181818181817</v>
      </c>
    </row>
    <row r="272" spans="6:20" x14ac:dyDescent="0.3">
      <c r="F272" s="4" t="s">
        <v>302</v>
      </c>
      <c r="G272" s="2">
        <v>28</v>
      </c>
      <c r="M272" s="4" t="s">
        <v>302</v>
      </c>
      <c r="N272" s="2">
        <v>37.571428571428569</v>
      </c>
      <c r="S272" s="4" t="s">
        <v>303</v>
      </c>
      <c r="T272" s="2">
        <v>4</v>
      </c>
    </row>
    <row r="273" spans="6:20" x14ac:dyDescent="0.3">
      <c r="F273" s="4" t="s">
        <v>303</v>
      </c>
      <c r="G273" s="2">
        <v>34</v>
      </c>
      <c r="M273" s="4" t="s">
        <v>303</v>
      </c>
      <c r="N273" s="2">
        <v>31.911764705882351</v>
      </c>
      <c r="S273" s="4" t="s">
        <v>304</v>
      </c>
      <c r="T273" s="2">
        <v>4.333333333333333</v>
      </c>
    </row>
    <row r="274" spans="6:20" x14ac:dyDescent="0.3">
      <c r="F274" s="4" t="s">
        <v>304</v>
      </c>
      <c r="G274" s="2">
        <v>26</v>
      </c>
      <c r="M274" s="4" t="s">
        <v>304</v>
      </c>
      <c r="N274" s="2">
        <v>34.03846153846154</v>
      </c>
      <c r="S274" s="4" t="s">
        <v>305</v>
      </c>
      <c r="T274" s="2">
        <v>4.8461538461538458</v>
      </c>
    </row>
    <row r="275" spans="6:20" x14ac:dyDescent="0.3">
      <c r="F275" s="4" t="s">
        <v>305</v>
      </c>
      <c r="G275" s="2">
        <v>36</v>
      </c>
      <c r="M275" s="4" t="s">
        <v>305</v>
      </c>
      <c r="N275" s="2">
        <v>33.722222222222221</v>
      </c>
      <c r="S275" s="4" t="s">
        <v>306</v>
      </c>
      <c r="T275" s="2">
        <v>3</v>
      </c>
    </row>
    <row r="276" spans="6:20" x14ac:dyDescent="0.3">
      <c r="F276" s="4" t="s">
        <v>306</v>
      </c>
      <c r="G276" s="2">
        <v>32</v>
      </c>
      <c r="M276" s="4" t="s">
        <v>306</v>
      </c>
      <c r="N276" s="2">
        <v>31.5625</v>
      </c>
      <c r="S276" s="4" t="s">
        <v>307</v>
      </c>
      <c r="T276" s="2">
        <v>3.8333333333333335</v>
      </c>
    </row>
    <row r="277" spans="6:20" x14ac:dyDescent="0.3">
      <c r="F277" s="4" t="s">
        <v>307</v>
      </c>
      <c r="G277" s="2">
        <v>25</v>
      </c>
      <c r="M277" s="4" t="s">
        <v>307</v>
      </c>
      <c r="N277" s="2">
        <v>37.24</v>
      </c>
      <c r="S277" s="4" t="s">
        <v>308</v>
      </c>
      <c r="T277" s="2">
        <v>6.5</v>
      </c>
    </row>
    <row r="278" spans="6:20" x14ac:dyDescent="0.3">
      <c r="F278" s="4" t="s">
        <v>308</v>
      </c>
      <c r="G278" s="2">
        <v>30</v>
      </c>
      <c r="M278" s="4" t="s">
        <v>308</v>
      </c>
      <c r="N278" s="2">
        <v>34.9</v>
      </c>
      <c r="S278" s="4" t="s">
        <v>309</v>
      </c>
      <c r="T278" s="2">
        <v>5.7</v>
      </c>
    </row>
    <row r="279" spans="6:20" x14ac:dyDescent="0.3">
      <c r="F279" s="4" t="s">
        <v>309</v>
      </c>
      <c r="G279" s="2">
        <v>29</v>
      </c>
      <c r="M279" s="4" t="s">
        <v>309</v>
      </c>
      <c r="N279" s="2">
        <v>35.413793103448278</v>
      </c>
      <c r="S279" s="4" t="s">
        <v>310</v>
      </c>
      <c r="T279" s="2">
        <v>4.5714285714285712</v>
      </c>
    </row>
    <row r="280" spans="6:20" x14ac:dyDescent="0.3">
      <c r="F280" s="4" t="s">
        <v>310</v>
      </c>
      <c r="G280" s="2">
        <v>32</v>
      </c>
      <c r="M280" s="4" t="s">
        <v>310</v>
      </c>
      <c r="N280" s="2">
        <v>33.5625</v>
      </c>
      <c r="S280" s="4" t="s">
        <v>311</v>
      </c>
      <c r="T280" s="2">
        <v>3.2727272727272729</v>
      </c>
    </row>
    <row r="281" spans="6:20" x14ac:dyDescent="0.3">
      <c r="F281" s="4" t="s">
        <v>311</v>
      </c>
      <c r="G281" s="2">
        <v>29</v>
      </c>
      <c r="M281" s="4" t="s">
        <v>311</v>
      </c>
      <c r="N281" s="2">
        <v>32.586206896551722</v>
      </c>
      <c r="S281" s="4" t="s">
        <v>312</v>
      </c>
      <c r="T281" s="2">
        <v>3</v>
      </c>
    </row>
    <row r="282" spans="6:20" x14ac:dyDescent="0.3">
      <c r="F282" s="4" t="s">
        <v>312</v>
      </c>
      <c r="G282" s="2">
        <v>33</v>
      </c>
      <c r="M282" s="4" t="s">
        <v>312</v>
      </c>
      <c r="N282" s="2">
        <v>33.030303030303031</v>
      </c>
      <c r="S282" s="4" t="s">
        <v>313</v>
      </c>
      <c r="T282" s="2">
        <v>7.2857142857142856</v>
      </c>
    </row>
    <row r="283" spans="6:20" x14ac:dyDescent="0.3">
      <c r="F283" s="4" t="s">
        <v>313</v>
      </c>
      <c r="G283" s="2">
        <v>32</v>
      </c>
      <c r="M283" s="4" t="s">
        <v>313</v>
      </c>
      <c r="N283" s="2">
        <v>33.25</v>
      </c>
      <c r="S283" s="4" t="s">
        <v>314</v>
      </c>
      <c r="T283" s="2">
        <v>5.7142857142857144</v>
      </c>
    </row>
    <row r="284" spans="6:20" x14ac:dyDescent="0.3">
      <c r="F284" s="4" t="s">
        <v>314</v>
      </c>
      <c r="G284" s="2">
        <v>36</v>
      </c>
      <c r="M284" s="4" t="s">
        <v>314</v>
      </c>
      <c r="N284" s="2">
        <v>36.611111111111114</v>
      </c>
      <c r="S284" s="4" t="s">
        <v>315</v>
      </c>
      <c r="T284" s="2">
        <v>4.833333333333333</v>
      </c>
    </row>
    <row r="285" spans="6:20" x14ac:dyDescent="0.3">
      <c r="F285" s="4" t="s">
        <v>315</v>
      </c>
      <c r="G285" s="2">
        <v>35</v>
      </c>
      <c r="M285" s="4" t="s">
        <v>315</v>
      </c>
      <c r="N285" s="2">
        <v>36.971428571428568</v>
      </c>
      <c r="S285" s="4" t="s">
        <v>316</v>
      </c>
      <c r="T285" s="2">
        <v>4.5</v>
      </c>
    </row>
    <row r="286" spans="6:20" x14ac:dyDescent="0.3">
      <c r="F286" s="4" t="s">
        <v>316</v>
      </c>
      <c r="G286" s="2">
        <v>25</v>
      </c>
      <c r="M286" s="4" t="s">
        <v>316</v>
      </c>
      <c r="N286" s="2">
        <v>35.64</v>
      </c>
      <c r="S286" s="4" t="s">
        <v>317</v>
      </c>
      <c r="T286" s="2">
        <v>3.6666666666666665</v>
      </c>
    </row>
    <row r="287" spans="6:20" x14ac:dyDescent="0.3">
      <c r="F287" s="4" t="s">
        <v>317</v>
      </c>
      <c r="G287" s="2">
        <v>33</v>
      </c>
      <c r="M287" s="4" t="s">
        <v>317</v>
      </c>
      <c r="N287" s="2">
        <v>34.454545454545453</v>
      </c>
      <c r="S287" s="4" t="s">
        <v>318</v>
      </c>
      <c r="T287" s="2">
        <v>5.4444444444444446</v>
      </c>
    </row>
    <row r="288" spans="6:20" x14ac:dyDescent="0.3">
      <c r="F288" s="4" t="s">
        <v>318</v>
      </c>
      <c r="G288" s="2">
        <v>34</v>
      </c>
      <c r="M288" s="4" t="s">
        <v>318</v>
      </c>
      <c r="N288" s="2">
        <v>37.088235294117645</v>
      </c>
      <c r="S288" s="4" t="s">
        <v>319</v>
      </c>
      <c r="T288" s="2">
        <v>4.2857142857142856</v>
      </c>
    </row>
    <row r="289" spans="6:20" x14ac:dyDescent="0.3">
      <c r="F289" s="4" t="s">
        <v>319</v>
      </c>
      <c r="G289" s="2">
        <v>30</v>
      </c>
      <c r="M289" s="4" t="s">
        <v>319</v>
      </c>
      <c r="N289" s="2">
        <v>27.933333333333334</v>
      </c>
      <c r="S289" s="4" t="s">
        <v>320</v>
      </c>
      <c r="T289" s="2">
        <v>3.3333333333333335</v>
      </c>
    </row>
    <row r="290" spans="6:20" x14ac:dyDescent="0.3">
      <c r="F290" s="4" t="s">
        <v>320</v>
      </c>
      <c r="G290" s="2">
        <v>26</v>
      </c>
      <c r="M290" s="4" t="s">
        <v>320</v>
      </c>
      <c r="N290" s="2">
        <v>33.884615384615387</v>
      </c>
      <c r="S290" s="4" t="s">
        <v>321</v>
      </c>
      <c r="T290" s="2">
        <v>7.1428571428571432</v>
      </c>
    </row>
    <row r="291" spans="6:20" x14ac:dyDescent="0.3">
      <c r="F291" s="4" t="s">
        <v>321</v>
      </c>
      <c r="G291" s="2">
        <v>29</v>
      </c>
      <c r="M291" s="4" t="s">
        <v>321</v>
      </c>
      <c r="N291" s="2">
        <v>33.827586206896555</v>
      </c>
      <c r="S291" s="4" t="s">
        <v>322</v>
      </c>
      <c r="T291" s="2">
        <v>4</v>
      </c>
    </row>
    <row r="292" spans="6:20" x14ac:dyDescent="0.3">
      <c r="F292" s="4" t="s">
        <v>322</v>
      </c>
      <c r="G292" s="2">
        <v>26</v>
      </c>
      <c r="M292" s="4" t="s">
        <v>322</v>
      </c>
      <c r="N292" s="2">
        <v>31.576923076923077</v>
      </c>
      <c r="S292" s="4" t="s">
        <v>323</v>
      </c>
      <c r="T292" s="2">
        <v>5</v>
      </c>
    </row>
    <row r="293" spans="6:20" x14ac:dyDescent="0.3">
      <c r="F293" s="4" t="s">
        <v>323</v>
      </c>
      <c r="G293" s="2">
        <v>37</v>
      </c>
      <c r="M293" s="4" t="s">
        <v>323</v>
      </c>
      <c r="N293" s="2">
        <v>33.270270270270274</v>
      </c>
      <c r="S293" s="4" t="s">
        <v>324</v>
      </c>
      <c r="T293" s="2">
        <v>8.5</v>
      </c>
    </row>
    <row r="294" spans="6:20" x14ac:dyDescent="0.3">
      <c r="F294" s="4" t="s">
        <v>324</v>
      </c>
      <c r="G294" s="2">
        <v>22</v>
      </c>
      <c r="M294" s="4" t="s">
        <v>324</v>
      </c>
      <c r="N294" s="2">
        <v>36.5</v>
      </c>
      <c r="S294" s="4" t="s">
        <v>325</v>
      </c>
      <c r="T294" s="2">
        <v>5.3636363636363633</v>
      </c>
    </row>
    <row r="295" spans="6:20" x14ac:dyDescent="0.3">
      <c r="F295" s="4" t="s">
        <v>325</v>
      </c>
      <c r="G295" s="2">
        <v>43</v>
      </c>
      <c r="M295" s="4" t="s">
        <v>325</v>
      </c>
      <c r="N295" s="2">
        <v>34.093023255813954</v>
      </c>
      <c r="S295" s="4" t="s">
        <v>326</v>
      </c>
      <c r="T295" s="2">
        <v>3.2222222222222223</v>
      </c>
    </row>
    <row r="296" spans="6:20" x14ac:dyDescent="0.3">
      <c r="F296" s="4" t="s">
        <v>326</v>
      </c>
      <c r="G296" s="2">
        <v>37</v>
      </c>
      <c r="M296" s="4" t="s">
        <v>326</v>
      </c>
      <c r="N296" s="2">
        <v>39.216216216216218</v>
      </c>
      <c r="S296" s="4" t="s">
        <v>327</v>
      </c>
      <c r="T296" s="2">
        <v>3.8888888888888888</v>
      </c>
    </row>
    <row r="297" spans="6:20" x14ac:dyDescent="0.3">
      <c r="F297" s="4" t="s">
        <v>327</v>
      </c>
      <c r="G297" s="2">
        <v>34</v>
      </c>
      <c r="M297" s="4" t="s">
        <v>327</v>
      </c>
      <c r="N297" s="2">
        <v>35.676470588235297</v>
      </c>
      <c r="S297" s="4" t="s">
        <v>328</v>
      </c>
      <c r="T297" s="2">
        <v>5.4615384615384617</v>
      </c>
    </row>
    <row r="298" spans="6:20" x14ac:dyDescent="0.3">
      <c r="F298" s="4" t="s">
        <v>328</v>
      </c>
      <c r="G298" s="2">
        <v>31</v>
      </c>
      <c r="M298" s="4" t="s">
        <v>328</v>
      </c>
      <c r="N298" s="2">
        <v>34.354838709677416</v>
      </c>
      <c r="S298" s="4" t="s">
        <v>329</v>
      </c>
      <c r="T298" s="2">
        <v>5.9090909090909092</v>
      </c>
    </row>
    <row r="299" spans="6:20" x14ac:dyDescent="0.3">
      <c r="F299" s="4" t="s">
        <v>329</v>
      </c>
      <c r="G299" s="2">
        <v>25</v>
      </c>
      <c r="M299" s="4" t="s">
        <v>329</v>
      </c>
      <c r="N299" s="2">
        <v>38.56</v>
      </c>
      <c r="S299" s="4" t="s">
        <v>330</v>
      </c>
      <c r="T299" s="2">
        <v>6.625</v>
      </c>
    </row>
    <row r="300" spans="6:20" x14ac:dyDescent="0.3">
      <c r="F300" s="4" t="s">
        <v>330</v>
      </c>
      <c r="G300" s="2">
        <v>26</v>
      </c>
      <c r="M300" s="4" t="s">
        <v>330</v>
      </c>
      <c r="N300" s="2">
        <v>28.76923076923077</v>
      </c>
      <c r="S300" s="4" t="s">
        <v>331</v>
      </c>
      <c r="T300" s="2">
        <v>6.4545454545454541</v>
      </c>
    </row>
    <row r="301" spans="6:20" x14ac:dyDescent="0.3">
      <c r="F301" s="4" t="s">
        <v>331</v>
      </c>
      <c r="G301" s="2">
        <v>28</v>
      </c>
      <c r="M301" s="4" t="s">
        <v>331</v>
      </c>
      <c r="N301" s="2">
        <v>33.571428571428569</v>
      </c>
      <c r="S301" s="4" t="s">
        <v>332</v>
      </c>
      <c r="T301" s="2">
        <v>5.166666666666667</v>
      </c>
    </row>
    <row r="302" spans="6:20" x14ac:dyDescent="0.3">
      <c r="F302" s="4" t="s">
        <v>332</v>
      </c>
      <c r="G302" s="2">
        <v>43</v>
      </c>
      <c r="M302" s="4" t="s">
        <v>332</v>
      </c>
      <c r="N302" s="2">
        <v>33.534883720930232</v>
      </c>
      <c r="S302" s="4" t="s">
        <v>333</v>
      </c>
      <c r="T302" s="2">
        <v>6.7</v>
      </c>
    </row>
    <row r="303" spans="6:20" x14ac:dyDescent="0.3">
      <c r="F303" s="4" t="s">
        <v>333</v>
      </c>
      <c r="G303" s="2">
        <v>33</v>
      </c>
      <c r="M303" s="4" t="s">
        <v>333</v>
      </c>
      <c r="N303" s="2">
        <v>39.515151515151516</v>
      </c>
      <c r="S303" s="4" t="s">
        <v>334</v>
      </c>
      <c r="T303" s="2">
        <v>3.75</v>
      </c>
    </row>
    <row r="304" spans="6:20" x14ac:dyDescent="0.3">
      <c r="F304" s="4" t="s">
        <v>334</v>
      </c>
      <c r="G304" s="2">
        <v>42</v>
      </c>
      <c r="M304" s="4" t="s">
        <v>334</v>
      </c>
      <c r="N304" s="2">
        <v>32.714285714285715</v>
      </c>
      <c r="S304" s="4" t="s">
        <v>335</v>
      </c>
      <c r="T304" s="2">
        <v>4.8461538461538458</v>
      </c>
    </row>
    <row r="305" spans="6:20" x14ac:dyDescent="0.3">
      <c r="F305" s="4" t="s">
        <v>335</v>
      </c>
      <c r="G305" s="2">
        <v>35</v>
      </c>
      <c r="M305" s="4" t="s">
        <v>335</v>
      </c>
      <c r="N305" s="2">
        <v>30.62857142857143</v>
      </c>
      <c r="S305" s="4" t="s">
        <v>336</v>
      </c>
      <c r="T305" s="2">
        <v>4.6363636363636367</v>
      </c>
    </row>
    <row r="306" spans="6:20" x14ac:dyDescent="0.3">
      <c r="F306" s="4" t="s">
        <v>336</v>
      </c>
      <c r="G306" s="2">
        <v>35</v>
      </c>
      <c r="M306" s="4" t="s">
        <v>336</v>
      </c>
      <c r="N306" s="2">
        <v>36.914285714285711</v>
      </c>
      <c r="S306" s="4" t="s">
        <v>337</v>
      </c>
      <c r="T306" s="2">
        <v>5.1111111111111107</v>
      </c>
    </row>
    <row r="307" spans="6:20" x14ac:dyDescent="0.3">
      <c r="F307" s="4" t="s">
        <v>337</v>
      </c>
      <c r="G307" s="2">
        <v>31</v>
      </c>
      <c r="M307" s="4" t="s">
        <v>337</v>
      </c>
      <c r="N307" s="2">
        <v>41.064516129032256</v>
      </c>
      <c r="S307" s="4" t="s">
        <v>338</v>
      </c>
      <c r="T307" s="2">
        <v>7.375</v>
      </c>
    </row>
    <row r="308" spans="6:20" x14ac:dyDescent="0.3">
      <c r="F308" s="4" t="s">
        <v>338</v>
      </c>
      <c r="G308" s="2">
        <v>31</v>
      </c>
      <c r="M308" s="4" t="s">
        <v>338</v>
      </c>
      <c r="N308" s="2">
        <v>32.58064516129032</v>
      </c>
      <c r="S308" s="4" t="s">
        <v>339</v>
      </c>
      <c r="T308" s="2">
        <v>4.4444444444444446</v>
      </c>
    </row>
    <row r="309" spans="6:20" x14ac:dyDescent="0.3">
      <c r="F309" s="4" t="s">
        <v>339</v>
      </c>
      <c r="G309" s="2">
        <v>33</v>
      </c>
      <c r="M309" s="4" t="s">
        <v>339</v>
      </c>
      <c r="N309" s="2">
        <v>31.393939393939394</v>
      </c>
      <c r="S309" s="4" t="s">
        <v>340</v>
      </c>
      <c r="T309" s="2">
        <v>3.8888888888888888</v>
      </c>
    </row>
    <row r="310" spans="6:20" x14ac:dyDescent="0.3">
      <c r="F310" s="4" t="s">
        <v>340</v>
      </c>
      <c r="G310" s="2">
        <v>33</v>
      </c>
      <c r="M310" s="4" t="s">
        <v>340</v>
      </c>
      <c r="N310" s="2">
        <v>29.363636363636363</v>
      </c>
      <c r="S310" s="4" t="s">
        <v>341</v>
      </c>
      <c r="T310" s="2">
        <v>5.8888888888888893</v>
      </c>
    </row>
    <row r="311" spans="6:20" x14ac:dyDescent="0.3">
      <c r="F311" s="4" t="s">
        <v>341</v>
      </c>
      <c r="G311" s="2">
        <v>20</v>
      </c>
      <c r="M311" s="4" t="s">
        <v>341</v>
      </c>
      <c r="N311" s="2">
        <v>35.4</v>
      </c>
      <c r="S311" s="4" t="s">
        <v>342</v>
      </c>
      <c r="T311" s="2">
        <v>4</v>
      </c>
    </row>
    <row r="312" spans="6:20" x14ac:dyDescent="0.3">
      <c r="F312" s="4" t="s">
        <v>342</v>
      </c>
      <c r="G312" s="2">
        <v>29</v>
      </c>
      <c r="M312" s="4" t="s">
        <v>342</v>
      </c>
      <c r="N312" s="2">
        <v>35.655172413793103</v>
      </c>
      <c r="S312" s="4" t="s">
        <v>343</v>
      </c>
      <c r="T312" s="2">
        <v>3.75</v>
      </c>
    </row>
    <row r="313" spans="6:20" x14ac:dyDescent="0.3">
      <c r="F313" s="4" t="s">
        <v>343</v>
      </c>
      <c r="G313" s="2">
        <v>27</v>
      </c>
      <c r="M313" s="4" t="s">
        <v>343</v>
      </c>
      <c r="N313" s="2">
        <v>40.481481481481481</v>
      </c>
      <c r="S313" s="4" t="s">
        <v>344</v>
      </c>
      <c r="T313" s="2">
        <v>4.625</v>
      </c>
    </row>
    <row r="314" spans="6:20" x14ac:dyDescent="0.3">
      <c r="F314" s="4" t="s">
        <v>344</v>
      </c>
      <c r="G314" s="2">
        <v>31</v>
      </c>
      <c r="M314" s="4" t="s">
        <v>344</v>
      </c>
      <c r="N314" s="2">
        <v>31.193548387096776</v>
      </c>
      <c r="S314" s="4" t="s">
        <v>345</v>
      </c>
      <c r="T314" s="2">
        <v>5</v>
      </c>
    </row>
    <row r="315" spans="6:20" x14ac:dyDescent="0.3">
      <c r="F315" s="4" t="s">
        <v>345</v>
      </c>
      <c r="G315" s="2">
        <v>20</v>
      </c>
      <c r="M315" s="4" t="s">
        <v>345</v>
      </c>
      <c r="N315" s="2">
        <v>35.049999999999997</v>
      </c>
      <c r="S315" s="4" t="s">
        <v>346</v>
      </c>
      <c r="T315" s="2">
        <v>4.666666666666667</v>
      </c>
    </row>
    <row r="316" spans="6:20" x14ac:dyDescent="0.3">
      <c r="F316" s="4" t="s">
        <v>346</v>
      </c>
      <c r="G316" s="2">
        <v>17</v>
      </c>
      <c r="M316" s="4" t="s">
        <v>346</v>
      </c>
      <c r="N316" s="2">
        <v>35.117647058823529</v>
      </c>
      <c r="S316" s="4" t="s">
        <v>347</v>
      </c>
      <c r="T316" s="2">
        <v>4.666666666666667</v>
      </c>
    </row>
    <row r="317" spans="6:20" x14ac:dyDescent="0.3">
      <c r="F317" s="4" t="s">
        <v>347</v>
      </c>
      <c r="G317" s="2">
        <v>12</v>
      </c>
      <c r="M317" s="4" t="s">
        <v>347</v>
      </c>
      <c r="N317" s="2">
        <v>28.916666666666668</v>
      </c>
      <c r="S317" s="4" t="s">
        <v>348</v>
      </c>
      <c r="T317" s="2">
        <v>5.4</v>
      </c>
    </row>
    <row r="318" spans="6:20" x14ac:dyDescent="0.3">
      <c r="F318" s="4" t="s">
        <v>348</v>
      </c>
      <c r="G318" s="2">
        <v>14</v>
      </c>
      <c r="M318" s="4" t="s">
        <v>348</v>
      </c>
      <c r="N318" s="2">
        <v>34.357142857142854</v>
      </c>
      <c r="S318" s="4" t="s">
        <v>349</v>
      </c>
      <c r="T318" s="2">
        <v>5.2</v>
      </c>
    </row>
    <row r="319" spans="6:20" x14ac:dyDescent="0.3">
      <c r="F319" s="4" t="s">
        <v>349</v>
      </c>
      <c r="G319" s="2">
        <v>17</v>
      </c>
      <c r="M319" s="4" t="s">
        <v>349</v>
      </c>
      <c r="N319" s="2">
        <v>29.705882352941178</v>
      </c>
      <c r="S319" s="4" t="s">
        <v>350</v>
      </c>
      <c r="T319" s="2">
        <v>2.4285714285714284</v>
      </c>
    </row>
    <row r="320" spans="6:20" x14ac:dyDescent="0.3">
      <c r="F320" s="4" t="s">
        <v>350</v>
      </c>
      <c r="G320" s="2">
        <v>17</v>
      </c>
      <c r="M320" s="4" t="s">
        <v>350</v>
      </c>
      <c r="N320" s="2">
        <v>33.176470588235297</v>
      </c>
      <c r="S320" s="4" t="s">
        <v>351</v>
      </c>
      <c r="T320" s="2">
        <v>4.8</v>
      </c>
    </row>
    <row r="321" spans="6:20" x14ac:dyDescent="0.3">
      <c r="F321" s="4" t="s">
        <v>351</v>
      </c>
      <c r="G321" s="2">
        <v>16</v>
      </c>
      <c r="M321" s="4" t="s">
        <v>351</v>
      </c>
      <c r="N321" s="2">
        <v>39.8125</v>
      </c>
      <c r="S321" s="4" t="s">
        <v>352</v>
      </c>
      <c r="T321" s="2">
        <v>6.5714285714285712</v>
      </c>
    </row>
    <row r="322" spans="6:20" x14ac:dyDescent="0.3">
      <c r="F322" s="4" t="s">
        <v>352</v>
      </c>
      <c r="G322" s="2">
        <v>19</v>
      </c>
      <c r="M322" s="4" t="s">
        <v>352</v>
      </c>
      <c r="N322" s="2">
        <v>36.578947368421055</v>
      </c>
      <c r="S322" s="4" t="s">
        <v>353</v>
      </c>
      <c r="T322" s="2">
        <v>3</v>
      </c>
    </row>
    <row r="323" spans="6:20" x14ac:dyDescent="0.3">
      <c r="F323" s="4" t="s">
        <v>353</v>
      </c>
      <c r="G323" s="2">
        <v>14</v>
      </c>
      <c r="M323" s="4" t="s">
        <v>353</v>
      </c>
      <c r="N323" s="2">
        <v>34.5</v>
      </c>
      <c r="S323" s="4" t="s">
        <v>354</v>
      </c>
      <c r="T323" s="2">
        <v>4.5999999999999996</v>
      </c>
    </row>
    <row r="324" spans="6:20" x14ac:dyDescent="0.3">
      <c r="F324" s="4" t="s">
        <v>354</v>
      </c>
      <c r="G324" s="2">
        <v>17</v>
      </c>
      <c r="M324" s="4" t="s">
        <v>354</v>
      </c>
      <c r="N324" s="2">
        <v>39.764705882352942</v>
      </c>
      <c r="S324" s="4" t="s">
        <v>355</v>
      </c>
      <c r="T324" s="2">
        <v>3.875</v>
      </c>
    </row>
    <row r="325" spans="6:20" x14ac:dyDescent="0.3">
      <c r="F325" s="4" t="s">
        <v>355</v>
      </c>
      <c r="G325" s="2">
        <v>13</v>
      </c>
      <c r="M325" s="4" t="s">
        <v>355</v>
      </c>
      <c r="N325" s="2">
        <v>35.230769230769234</v>
      </c>
      <c r="S325" s="4" t="s">
        <v>356</v>
      </c>
      <c r="T325" s="2">
        <v>7.25</v>
      </c>
    </row>
    <row r="326" spans="6:20" x14ac:dyDescent="0.3">
      <c r="F326" s="4" t="s">
        <v>356</v>
      </c>
      <c r="G326" s="2">
        <v>12</v>
      </c>
      <c r="M326" s="4" t="s">
        <v>356</v>
      </c>
      <c r="N326" s="2">
        <v>41.5</v>
      </c>
      <c r="S326" s="4" t="s">
        <v>357</v>
      </c>
      <c r="T326" s="2">
        <v>3</v>
      </c>
    </row>
    <row r="327" spans="6:20" x14ac:dyDescent="0.3">
      <c r="F327" s="4" t="s">
        <v>357</v>
      </c>
      <c r="G327" s="2">
        <v>16</v>
      </c>
      <c r="M327" s="4" t="s">
        <v>357</v>
      </c>
      <c r="N327" s="2">
        <v>38.0625</v>
      </c>
      <c r="S327" s="4" t="s">
        <v>358</v>
      </c>
      <c r="T327" s="2">
        <v>8</v>
      </c>
    </row>
    <row r="328" spans="6:20" x14ac:dyDescent="0.3">
      <c r="F328" s="4" t="s">
        <v>358</v>
      </c>
      <c r="G328" s="2">
        <v>9</v>
      </c>
      <c r="M328" s="4" t="s">
        <v>358</v>
      </c>
      <c r="N328" s="2">
        <v>29.222222222222221</v>
      </c>
      <c r="S328" s="4" t="s">
        <v>359</v>
      </c>
      <c r="T328" s="2">
        <v>6</v>
      </c>
    </row>
    <row r="329" spans="6:20" x14ac:dyDescent="0.3">
      <c r="F329" s="4" t="s">
        <v>359</v>
      </c>
      <c r="G329" s="2">
        <v>17</v>
      </c>
      <c r="M329" s="4" t="s">
        <v>359</v>
      </c>
      <c r="N329" s="2">
        <v>31</v>
      </c>
      <c r="S329" s="4" t="s">
        <v>360</v>
      </c>
      <c r="T329" s="2">
        <v>3.6666666666666665</v>
      </c>
    </row>
    <row r="330" spans="6:20" x14ac:dyDescent="0.3">
      <c r="F330" s="4" t="s">
        <v>360</v>
      </c>
      <c r="G330" s="2">
        <v>16</v>
      </c>
      <c r="M330" s="4" t="s">
        <v>360</v>
      </c>
      <c r="N330" s="2">
        <v>37.3125</v>
      </c>
      <c r="S330" s="4" t="s">
        <v>361</v>
      </c>
      <c r="T330" s="2">
        <v>5.333333333333333</v>
      </c>
    </row>
    <row r="331" spans="6:20" x14ac:dyDescent="0.3">
      <c r="F331" s="4" t="s">
        <v>361</v>
      </c>
      <c r="G331" s="2">
        <v>17</v>
      </c>
      <c r="M331" s="4" t="s">
        <v>361</v>
      </c>
      <c r="N331" s="2">
        <v>35.647058823529413</v>
      </c>
      <c r="S331" s="4" t="s">
        <v>362</v>
      </c>
      <c r="T331" s="2">
        <v>6.1111111111111107</v>
      </c>
    </row>
    <row r="332" spans="6:20" x14ac:dyDescent="0.3">
      <c r="F332" s="4" t="s">
        <v>362</v>
      </c>
      <c r="G332" s="2">
        <v>21</v>
      </c>
      <c r="M332" s="4" t="s">
        <v>362</v>
      </c>
      <c r="N332" s="2">
        <v>36.476190476190474</v>
      </c>
      <c r="S332" s="4" t="s">
        <v>363</v>
      </c>
      <c r="T332" s="2">
        <v>6.5</v>
      </c>
    </row>
    <row r="333" spans="6:20" x14ac:dyDescent="0.3">
      <c r="F333" s="4" t="s">
        <v>363</v>
      </c>
      <c r="G333" s="2">
        <v>15</v>
      </c>
      <c r="M333" s="4" t="s">
        <v>363</v>
      </c>
      <c r="N333" s="2">
        <v>40.799999999999997</v>
      </c>
      <c r="S333" s="4" t="s">
        <v>364</v>
      </c>
      <c r="T333" s="2">
        <v>5</v>
      </c>
    </row>
    <row r="334" spans="6:20" x14ac:dyDescent="0.3">
      <c r="F334" s="4" t="s">
        <v>364</v>
      </c>
      <c r="G334" s="2">
        <v>22</v>
      </c>
      <c r="M334" s="4" t="s">
        <v>364</v>
      </c>
      <c r="N334" s="2">
        <v>30.318181818181817</v>
      </c>
      <c r="S334" s="4" t="s">
        <v>365</v>
      </c>
      <c r="T334" s="2">
        <v>5.8</v>
      </c>
    </row>
    <row r="335" spans="6:20" x14ac:dyDescent="0.3">
      <c r="F335" s="4" t="s">
        <v>365</v>
      </c>
      <c r="G335" s="2">
        <v>14</v>
      </c>
      <c r="M335" s="4" t="s">
        <v>365</v>
      </c>
      <c r="N335" s="2">
        <v>35.714285714285715</v>
      </c>
      <c r="S335" s="4" t="s">
        <v>366</v>
      </c>
      <c r="T335" s="2">
        <v>6</v>
      </c>
    </row>
    <row r="336" spans="6:20" x14ac:dyDescent="0.3">
      <c r="F336" s="4" t="s">
        <v>366</v>
      </c>
      <c r="G336" s="2">
        <v>13</v>
      </c>
      <c r="M336" s="4" t="s">
        <v>366</v>
      </c>
      <c r="N336" s="2">
        <v>33.53846153846154</v>
      </c>
      <c r="S336" s="4" t="s">
        <v>367</v>
      </c>
      <c r="T336" s="2">
        <v>8</v>
      </c>
    </row>
    <row r="337" spans="6:20" x14ac:dyDescent="0.3">
      <c r="F337" s="4" t="s">
        <v>367</v>
      </c>
      <c r="G337" s="2">
        <v>10</v>
      </c>
      <c r="M337" s="4" t="s">
        <v>367</v>
      </c>
      <c r="N337" s="2">
        <v>37.5</v>
      </c>
      <c r="S337" s="4" t="s">
        <v>368</v>
      </c>
      <c r="T337" s="2">
        <v>7</v>
      </c>
    </row>
    <row r="338" spans="6:20" x14ac:dyDescent="0.3">
      <c r="F338" s="4" t="s">
        <v>368</v>
      </c>
      <c r="G338" s="2">
        <v>17</v>
      </c>
      <c r="M338" s="4" t="s">
        <v>368</v>
      </c>
      <c r="N338" s="2">
        <v>38.058823529411768</v>
      </c>
      <c r="S338" s="4" t="s">
        <v>369</v>
      </c>
      <c r="T338" s="2">
        <v>3.75</v>
      </c>
    </row>
    <row r="339" spans="6:20" x14ac:dyDescent="0.3">
      <c r="F339" s="4" t="s">
        <v>369</v>
      </c>
      <c r="G339" s="2">
        <v>17</v>
      </c>
      <c r="M339" s="4" t="s">
        <v>369</v>
      </c>
      <c r="N339" s="2">
        <v>28.117647058823529</v>
      </c>
      <c r="S339" s="4" t="s">
        <v>370</v>
      </c>
      <c r="T339" s="2">
        <v>1</v>
      </c>
    </row>
    <row r="340" spans="6:20" x14ac:dyDescent="0.3">
      <c r="F340" s="4" t="s">
        <v>370</v>
      </c>
      <c r="G340" s="2">
        <v>13</v>
      </c>
      <c r="M340" s="4" t="s">
        <v>370</v>
      </c>
      <c r="N340" s="2">
        <v>31.846153846153847</v>
      </c>
      <c r="S340" s="4" t="s">
        <v>371</v>
      </c>
      <c r="T340" s="2">
        <v>9</v>
      </c>
    </row>
    <row r="341" spans="6:20" x14ac:dyDescent="0.3">
      <c r="F341" s="4" t="s">
        <v>371</v>
      </c>
      <c r="G341" s="2">
        <v>11</v>
      </c>
      <c r="M341" s="4" t="s">
        <v>371</v>
      </c>
      <c r="N341" s="2">
        <v>43.636363636363633</v>
      </c>
      <c r="S341" s="4" t="s">
        <v>372</v>
      </c>
      <c r="T341" s="2">
        <v>5.8</v>
      </c>
    </row>
    <row r="342" spans="6:20" x14ac:dyDescent="0.3">
      <c r="F342" s="4" t="s">
        <v>372</v>
      </c>
      <c r="G342" s="2">
        <v>19</v>
      </c>
      <c r="M342" s="4" t="s">
        <v>372</v>
      </c>
      <c r="N342" s="2">
        <v>38.842105263157897</v>
      </c>
      <c r="S342" s="4" t="s">
        <v>373</v>
      </c>
      <c r="T342" s="2">
        <v>4</v>
      </c>
    </row>
    <row r="343" spans="6:20" x14ac:dyDescent="0.3">
      <c r="F343" s="4" t="s">
        <v>373</v>
      </c>
      <c r="G343" s="2">
        <v>16</v>
      </c>
      <c r="M343" s="4" t="s">
        <v>373</v>
      </c>
      <c r="N343" s="2">
        <v>29.5625</v>
      </c>
      <c r="S343" s="4" t="s">
        <v>374</v>
      </c>
      <c r="T343" s="2">
        <v>6.4</v>
      </c>
    </row>
    <row r="344" spans="6:20" x14ac:dyDescent="0.3">
      <c r="F344" s="4" t="s">
        <v>374</v>
      </c>
      <c r="G344" s="2">
        <v>15</v>
      </c>
      <c r="M344" s="4" t="s">
        <v>374</v>
      </c>
      <c r="N344" s="2">
        <v>37.466666666666669</v>
      </c>
      <c r="S344" s="4" t="s">
        <v>375</v>
      </c>
      <c r="T344" s="2">
        <v>5</v>
      </c>
    </row>
    <row r="345" spans="6:20" x14ac:dyDescent="0.3">
      <c r="F345" s="4" t="s">
        <v>375</v>
      </c>
      <c r="G345" s="2">
        <v>18</v>
      </c>
      <c r="M345" s="4" t="s">
        <v>375</v>
      </c>
      <c r="N345" s="2">
        <v>35.277777777777779</v>
      </c>
      <c r="S345" s="4" t="s">
        <v>376</v>
      </c>
      <c r="T345" s="2">
        <v>9</v>
      </c>
    </row>
    <row r="346" spans="6:20" x14ac:dyDescent="0.3">
      <c r="F346" s="4" t="s">
        <v>376</v>
      </c>
      <c r="G346" s="2">
        <v>16</v>
      </c>
      <c r="M346" s="4" t="s">
        <v>376</v>
      </c>
      <c r="N346" s="2">
        <v>34.5</v>
      </c>
      <c r="S346" s="4" t="s">
        <v>377</v>
      </c>
      <c r="T346" s="2">
        <v>4.4000000000000004</v>
      </c>
    </row>
    <row r="347" spans="6:20" x14ac:dyDescent="0.3">
      <c r="F347" s="4" t="s">
        <v>377</v>
      </c>
      <c r="G347" s="2">
        <v>15</v>
      </c>
      <c r="M347" s="4" t="s">
        <v>377</v>
      </c>
      <c r="N347" s="2">
        <v>35.4</v>
      </c>
      <c r="S347" s="4" t="s">
        <v>378</v>
      </c>
      <c r="T347" s="2">
        <v>4</v>
      </c>
    </row>
    <row r="348" spans="6:20" x14ac:dyDescent="0.3">
      <c r="F348" s="4" t="s">
        <v>378</v>
      </c>
      <c r="G348" s="2">
        <v>14</v>
      </c>
      <c r="M348" s="4" t="s">
        <v>378</v>
      </c>
      <c r="N348" s="2">
        <v>34.928571428571431</v>
      </c>
      <c r="S348" s="4" t="s">
        <v>379</v>
      </c>
      <c r="T348" s="2">
        <v>0</v>
      </c>
    </row>
    <row r="349" spans="6:20" x14ac:dyDescent="0.3">
      <c r="F349" s="4" t="s">
        <v>379</v>
      </c>
      <c r="G349" s="2">
        <v>12</v>
      </c>
      <c r="M349" s="4" t="s">
        <v>379</v>
      </c>
      <c r="N349" s="2">
        <v>44.25</v>
      </c>
      <c r="S349" s="4" t="s">
        <v>380</v>
      </c>
      <c r="T349" s="2">
        <v>2.875</v>
      </c>
    </row>
    <row r="350" spans="6:20" x14ac:dyDescent="0.3">
      <c r="F350" s="4" t="s">
        <v>380</v>
      </c>
      <c r="G350" s="2">
        <v>16</v>
      </c>
      <c r="M350" s="4" t="s">
        <v>380</v>
      </c>
      <c r="N350" s="2">
        <v>40.1875</v>
      </c>
      <c r="S350" s="4" t="s">
        <v>381</v>
      </c>
      <c r="T350" s="2">
        <v>5.25</v>
      </c>
    </row>
    <row r="351" spans="6:20" x14ac:dyDescent="0.3">
      <c r="F351" s="4" t="s">
        <v>381</v>
      </c>
      <c r="G351" s="2">
        <v>11</v>
      </c>
      <c r="M351" s="4" t="s">
        <v>381</v>
      </c>
      <c r="N351" s="2">
        <v>35</v>
      </c>
      <c r="S351" s="4" t="s">
        <v>383</v>
      </c>
      <c r="T351" s="2">
        <v>6</v>
      </c>
    </row>
    <row r="352" spans="6:20" x14ac:dyDescent="0.3">
      <c r="F352" s="4" t="s">
        <v>382</v>
      </c>
      <c r="G352" s="2">
        <v>7</v>
      </c>
      <c r="M352" s="4" t="s">
        <v>382</v>
      </c>
      <c r="N352" s="2">
        <v>43.142857142857146</v>
      </c>
      <c r="S352" s="4" t="s">
        <v>384</v>
      </c>
      <c r="T352" s="2">
        <v>6.5</v>
      </c>
    </row>
    <row r="353" spans="6:20" x14ac:dyDescent="0.3">
      <c r="F353" s="4" t="s">
        <v>383</v>
      </c>
      <c r="G353" s="2">
        <v>16</v>
      </c>
      <c r="M353" s="4" t="s">
        <v>383</v>
      </c>
      <c r="N353" s="2">
        <v>43.6875</v>
      </c>
      <c r="S353" s="4" t="s">
        <v>385</v>
      </c>
      <c r="T353" s="2">
        <v>5.5</v>
      </c>
    </row>
    <row r="354" spans="6:20" x14ac:dyDescent="0.3">
      <c r="F354" s="4" t="s">
        <v>384</v>
      </c>
      <c r="G354" s="2">
        <v>7</v>
      </c>
      <c r="M354" s="4" t="s">
        <v>384</v>
      </c>
      <c r="N354" s="2">
        <v>33.857142857142854</v>
      </c>
      <c r="S354" s="4" t="s">
        <v>386</v>
      </c>
      <c r="T354" s="2">
        <v>5.666666666666667</v>
      </c>
    </row>
    <row r="355" spans="6:20" x14ac:dyDescent="0.3">
      <c r="F355" s="4" t="s">
        <v>385</v>
      </c>
      <c r="G355" s="2">
        <v>16</v>
      </c>
      <c r="M355" s="4" t="s">
        <v>385</v>
      </c>
      <c r="N355" s="2">
        <v>40.1875</v>
      </c>
      <c r="S355" s="4" t="s">
        <v>387</v>
      </c>
      <c r="T355" s="2">
        <v>5.25</v>
      </c>
    </row>
    <row r="356" spans="6:20" x14ac:dyDescent="0.3">
      <c r="F356" s="4" t="s">
        <v>386</v>
      </c>
      <c r="G356" s="2">
        <v>16</v>
      </c>
      <c r="M356" s="4" t="s">
        <v>386</v>
      </c>
      <c r="N356" s="2">
        <v>34.9375</v>
      </c>
      <c r="S356" s="4" t="s">
        <v>388</v>
      </c>
      <c r="T356" s="2">
        <v>7.25</v>
      </c>
    </row>
    <row r="357" spans="6:20" x14ac:dyDescent="0.3">
      <c r="F357" s="4" t="s">
        <v>387</v>
      </c>
      <c r="G357" s="2">
        <v>19</v>
      </c>
      <c r="M357" s="4" t="s">
        <v>387</v>
      </c>
      <c r="N357" s="2">
        <v>28.684210526315791</v>
      </c>
      <c r="S357" s="4" t="s">
        <v>389</v>
      </c>
      <c r="T357" s="2">
        <v>6</v>
      </c>
    </row>
    <row r="358" spans="6:20" x14ac:dyDescent="0.3">
      <c r="F358" s="4" t="s">
        <v>388</v>
      </c>
      <c r="G358" s="2">
        <v>10</v>
      </c>
      <c r="M358" s="4" t="s">
        <v>388</v>
      </c>
      <c r="N358" s="2">
        <v>25</v>
      </c>
      <c r="S358" s="4" t="s">
        <v>390</v>
      </c>
      <c r="T358" s="2">
        <v>4.5999999999999996</v>
      </c>
    </row>
    <row r="359" spans="6:20" x14ac:dyDescent="0.3">
      <c r="F359" s="4" t="s">
        <v>389</v>
      </c>
      <c r="G359" s="2">
        <v>13</v>
      </c>
      <c r="M359" s="4" t="s">
        <v>389</v>
      </c>
      <c r="N359" s="2">
        <v>35.46153846153846</v>
      </c>
      <c r="S359" s="4" t="s">
        <v>391</v>
      </c>
      <c r="T359" s="2">
        <v>8</v>
      </c>
    </row>
    <row r="360" spans="6:20" x14ac:dyDescent="0.3">
      <c r="F360" s="4" t="s">
        <v>390</v>
      </c>
      <c r="G360" s="2">
        <v>27</v>
      </c>
      <c r="M360" s="4" t="s">
        <v>390</v>
      </c>
      <c r="N360" s="2">
        <v>33.814814814814817</v>
      </c>
      <c r="S360" s="4" t="s">
        <v>392</v>
      </c>
      <c r="T360" s="2">
        <v>3.6666666666666665</v>
      </c>
    </row>
    <row r="361" spans="6:20" x14ac:dyDescent="0.3">
      <c r="F361" s="4" t="s">
        <v>391</v>
      </c>
      <c r="G361" s="2">
        <v>19</v>
      </c>
      <c r="M361" s="4" t="s">
        <v>391</v>
      </c>
      <c r="N361" s="2">
        <v>33.631578947368418</v>
      </c>
      <c r="S361" s="4" t="s">
        <v>393</v>
      </c>
      <c r="T361" s="2">
        <v>2.4285714285714284</v>
      </c>
    </row>
    <row r="362" spans="6:20" x14ac:dyDescent="0.3">
      <c r="F362" s="4" t="s">
        <v>392</v>
      </c>
      <c r="G362" s="2">
        <v>18</v>
      </c>
      <c r="M362" s="4" t="s">
        <v>392</v>
      </c>
      <c r="N362" s="2">
        <v>36.611111111111114</v>
      </c>
      <c r="S362" s="4" t="s">
        <v>394</v>
      </c>
      <c r="T362" s="2">
        <v>9</v>
      </c>
    </row>
    <row r="363" spans="6:20" x14ac:dyDescent="0.3">
      <c r="F363" s="4" t="s">
        <v>393</v>
      </c>
      <c r="G363" s="2">
        <v>12</v>
      </c>
      <c r="M363" s="4" t="s">
        <v>393</v>
      </c>
      <c r="N363" s="2">
        <v>30.5</v>
      </c>
      <c r="S363" s="4" t="s">
        <v>395</v>
      </c>
      <c r="T363" s="2">
        <v>6</v>
      </c>
    </row>
    <row r="364" spans="6:20" x14ac:dyDescent="0.3">
      <c r="F364" s="4" t="s">
        <v>394</v>
      </c>
      <c r="G364" s="2">
        <v>20</v>
      </c>
      <c r="M364" s="4" t="s">
        <v>394</v>
      </c>
      <c r="N364" s="2">
        <v>33.6</v>
      </c>
      <c r="S364" s="4" t="s">
        <v>396</v>
      </c>
      <c r="T364" s="2">
        <v>4</v>
      </c>
    </row>
    <row r="365" spans="6:20" x14ac:dyDescent="0.3">
      <c r="F365" s="4" t="s">
        <v>395</v>
      </c>
      <c r="G365" s="2">
        <v>12</v>
      </c>
      <c r="M365" s="4" t="s">
        <v>395</v>
      </c>
      <c r="N365" s="2">
        <v>26.75</v>
      </c>
      <c r="S365" s="4" t="s">
        <v>397</v>
      </c>
      <c r="T365" s="2">
        <v>4.833333333333333</v>
      </c>
    </row>
    <row r="366" spans="6:20" x14ac:dyDescent="0.3">
      <c r="F366" s="4" t="s">
        <v>396</v>
      </c>
      <c r="G366" s="2">
        <v>19</v>
      </c>
      <c r="M366" s="4" t="s">
        <v>396</v>
      </c>
      <c r="N366" s="2">
        <v>37.684210526315788</v>
      </c>
      <c r="S366" s="4" t="s">
        <v>398</v>
      </c>
      <c r="T366" s="2">
        <v>3.6</v>
      </c>
    </row>
    <row r="367" spans="6:20" x14ac:dyDescent="0.3">
      <c r="F367" s="4" t="s">
        <v>397</v>
      </c>
      <c r="G367" s="2">
        <v>18</v>
      </c>
      <c r="M367" s="4" t="s">
        <v>397</v>
      </c>
      <c r="N367" s="2">
        <v>36.611111111111114</v>
      </c>
      <c r="S367" s="4" t="s">
        <v>399</v>
      </c>
      <c r="T367" s="2">
        <v>5</v>
      </c>
    </row>
    <row r="368" spans="6:20" x14ac:dyDescent="0.3">
      <c r="F368" s="4" t="s">
        <v>398</v>
      </c>
      <c r="G368" s="2">
        <v>21</v>
      </c>
      <c r="M368" s="4" t="s">
        <v>398</v>
      </c>
      <c r="N368" s="2">
        <v>35.428571428571431</v>
      </c>
      <c r="S368" s="4" t="s">
        <v>400</v>
      </c>
      <c r="T368" s="2">
        <v>5.25</v>
      </c>
    </row>
    <row r="369" spans="6:20" x14ac:dyDescent="0.3">
      <c r="F369" s="4" t="s">
        <v>399</v>
      </c>
      <c r="G369" s="2">
        <v>18</v>
      </c>
      <c r="M369" s="4" t="s">
        <v>399</v>
      </c>
      <c r="N369" s="2">
        <v>31.944444444444443</v>
      </c>
      <c r="S369" s="4" t="s">
        <v>401</v>
      </c>
      <c r="T369" s="2">
        <v>3.2</v>
      </c>
    </row>
    <row r="370" spans="6:20" x14ac:dyDescent="0.3">
      <c r="F370" s="4" t="s">
        <v>400</v>
      </c>
      <c r="G370" s="2">
        <v>16</v>
      </c>
      <c r="M370" s="4" t="s">
        <v>400</v>
      </c>
      <c r="N370" s="2">
        <v>31.875</v>
      </c>
      <c r="S370" s="4" t="s">
        <v>402</v>
      </c>
      <c r="T370" s="2">
        <v>5.5</v>
      </c>
    </row>
    <row r="371" spans="6:20" x14ac:dyDescent="0.3">
      <c r="F371" s="4" t="s">
        <v>401</v>
      </c>
      <c r="G371" s="2">
        <v>14</v>
      </c>
      <c r="M371" s="4" t="s">
        <v>401</v>
      </c>
      <c r="N371" s="2">
        <v>28.642857142857142</v>
      </c>
      <c r="S371" s="4" t="s">
        <v>403</v>
      </c>
      <c r="T371" s="2">
        <v>3</v>
      </c>
    </row>
    <row r="372" spans="6:20" x14ac:dyDescent="0.3">
      <c r="F372" s="4" t="s">
        <v>402</v>
      </c>
      <c r="G372" s="2">
        <v>14</v>
      </c>
      <c r="M372" s="4" t="s">
        <v>402</v>
      </c>
      <c r="N372" s="2">
        <v>39.214285714285715</v>
      </c>
      <c r="S372" s="4" t="s">
        <v>404</v>
      </c>
      <c r="T372" s="2">
        <v>3.9090909090909092</v>
      </c>
    </row>
    <row r="373" spans="6:20" x14ac:dyDescent="0.3">
      <c r="F373" s="4" t="s">
        <v>403</v>
      </c>
      <c r="G373" s="2">
        <v>16</v>
      </c>
      <c r="M373" s="4" t="s">
        <v>403</v>
      </c>
      <c r="N373" s="2">
        <v>32.0625</v>
      </c>
      <c r="S373" s="4" t="s">
        <v>405</v>
      </c>
      <c r="T373" s="2">
        <v>2.6666666666666665</v>
      </c>
    </row>
    <row r="374" spans="6:20" x14ac:dyDescent="0.3">
      <c r="F374" s="4" t="s">
        <v>404</v>
      </c>
      <c r="G374" s="2">
        <v>21</v>
      </c>
      <c r="M374" s="4" t="s">
        <v>404</v>
      </c>
      <c r="N374" s="2">
        <v>28.285714285714285</v>
      </c>
      <c r="S374" s="4" t="s">
        <v>5</v>
      </c>
      <c r="T374" s="2">
        <v>4.9920540325784666</v>
      </c>
    </row>
    <row r="375" spans="6:20" x14ac:dyDescent="0.3">
      <c r="F375" s="4" t="s">
        <v>405</v>
      </c>
      <c r="G375" s="2">
        <v>21</v>
      </c>
      <c r="M375" s="4" t="s">
        <v>405</v>
      </c>
      <c r="N375" s="2">
        <v>35.476190476190474</v>
      </c>
    </row>
    <row r="376" spans="6:20" x14ac:dyDescent="0.3">
      <c r="F376" s="4" t="s">
        <v>406</v>
      </c>
      <c r="G376" s="2">
        <v>15</v>
      </c>
      <c r="M376" s="4" t="s">
        <v>406</v>
      </c>
      <c r="N376" s="2">
        <v>39.799999999999997</v>
      </c>
    </row>
    <row r="377" spans="6:20" x14ac:dyDescent="0.3">
      <c r="F377" s="4" t="s">
        <v>5</v>
      </c>
      <c r="G377" s="2">
        <v>9216</v>
      </c>
      <c r="M377" s="4" t="s">
        <v>5</v>
      </c>
      <c r="N377" s="2">
        <v>35.259874131944443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C5A4-BA9E-4FDA-A224-88054221FD29}">
  <dimension ref="A1"/>
  <sheetViews>
    <sheetView tabSelected="1" zoomScale="58" zoomScaleNormal="55" workbookViewId="0">
      <selection activeCell="Z29" sqref="Z29"/>
    </sheetView>
  </sheetViews>
  <sheetFormatPr defaultRowHeight="15.6" x14ac:dyDescent="0.3"/>
  <sheetData>
    <row r="1" spans="1:1" x14ac:dyDescent="0.3">
      <c r="A1"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493C-4ABC-4409-88E3-DD759327A9C3}">
  <dimension ref="A1"/>
  <sheetViews>
    <sheetView workbookViewId="0"/>
  </sheetViews>
  <sheetFormatPr defaultRowHeight="15.6"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752B-E8AD-4BCD-8920-AF8302B639E2}">
  <dimension ref="A1"/>
  <sheetViews>
    <sheetView workbookViewId="0"/>
  </sheetViews>
  <sheetFormatPr defaultRowHeight="15.6"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9BEC-8883-4B17-BAA4-8311D6C73BFA}">
  <dimension ref="A1"/>
  <sheetViews>
    <sheetView workbookViewId="0"/>
  </sheetViews>
  <sheetFormatPr defaultRowHeight="15.6"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810690D-38F5-4B06-BE5E-EE8B883D7B88}">
  <ds:schemaRefs/>
</ds:datastoreItem>
</file>

<file path=customXml/itemProps2.xml><?xml version="1.0" encoding="utf-8"?>
<ds:datastoreItem xmlns:ds="http://schemas.openxmlformats.org/officeDocument/2006/customXml" ds:itemID="{E7B42210-DEC7-43D3-AE9C-867BADE893A8}">
  <ds:schemaRefs/>
</ds:datastoreItem>
</file>

<file path=customXml/itemProps3.xml><?xml version="1.0" encoding="utf-8"?>
<ds:datastoreItem xmlns:ds="http://schemas.openxmlformats.org/officeDocument/2006/customXml" ds:itemID="{E51D8754-5779-44D7-9172-C6500D263E35}">
  <ds:schemaRefs/>
</ds:datastoreItem>
</file>

<file path=customXml/itemProps4.xml><?xml version="1.0" encoding="utf-8"?>
<ds:datastoreItem xmlns:ds="http://schemas.openxmlformats.org/officeDocument/2006/customXml" ds:itemID="{DCF35932-D067-4E45-8D3D-35038452D3DB}">
  <ds:schemaRefs>
    <ds:schemaRef ds:uri="http://schemas.microsoft.com/DataMashup"/>
  </ds:schemaRefs>
</ds:datastoreItem>
</file>

<file path=customXml/itemProps5.xml><?xml version="1.0" encoding="utf-8"?>
<ds:datastoreItem xmlns:ds="http://schemas.openxmlformats.org/officeDocument/2006/customXml" ds:itemID="{DCFFC8AE-54C6-464D-9218-1059665A9901}">
  <ds:schemaRefs/>
</ds:datastoreItem>
</file>

<file path=customXml/itemProps6.xml><?xml version="1.0" encoding="utf-8"?>
<ds:datastoreItem xmlns:ds="http://schemas.openxmlformats.org/officeDocument/2006/customXml" ds:itemID="{F72211C9-4D78-4AE9-9678-5337B9F52A87}">
  <ds:schemaRefs/>
</ds:datastoreItem>
</file>

<file path=customXml/itemProps7.xml><?xml version="1.0" encoding="utf-8"?>
<ds:datastoreItem xmlns:ds="http://schemas.openxmlformats.org/officeDocument/2006/customXml" ds:itemID="{1C9E562B-52AD-473B-8C54-D1DB104D4290}">
  <ds:schemaRefs/>
</ds:datastoreItem>
</file>

<file path=customXml/itemProps8.xml><?xml version="1.0" encoding="utf-8"?>
<ds:datastoreItem xmlns:ds="http://schemas.openxmlformats.org/officeDocument/2006/customXml" ds:itemID="{C8349968-5C71-4671-839E-6715DE521A55}">
  <ds:schemaRefs/>
</ds:datastoreItem>
</file>

<file path=customXml/itemProps9.xml><?xml version="1.0" encoding="utf-8"?>
<ds:datastoreItem xmlns:ds="http://schemas.openxmlformats.org/officeDocument/2006/customXml" ds:itemID="{78A78A99-B86C-4527-A314-3ED4FCD8915F}">
  <ds:schemaRefs/>
</ds:datastoreItem>
</file>

<file path=customXml/itemProps10.xml><?xml version="1.0" encoding="utf-8"?>
<ds:datastoreItem xmlns:ds="http://schemas.openxmlformats.org/officeDocument/2006/customXml" ds:itemID="{84B4D11A-5B03-47CD-8DF4-F1C76D7599D6}">
  <ds:schemaRefs/>
</ds:datastoreItem>
</file>

<file path=customXml/itemProps11.xml><?xml version="1.0" encoding="utf-8"?>
<ds:datastoreItem xmlns:ds="http://schemas.openxmlformats.org/officeDocument/2006/customXml" ds:itemID="{42FACD4E-824F-4E06-BF36-1288A2F11FA7}">
  <ds:schemaRefs/>
</ds:datastoreItem>
</file>

<file path=customXml/itemProps12.xml><?xml version="1.0" encoding="utf-8"?>
<ds:datastoreItem xmlns:ds="http://schemas.openxmlformats.org/officeDocument/2006/customXml" ds:itemID="{FCAD766B-D35D-4CDF-9277-075A483B1DD1}">
  <ds:schemaRefs/>
</ds:datastoreItem>
</file>

<file path=customXml/itemProps13.xml><?xml version="1.0" encoding="utf-8"?>
<ds:datastoreItem xmlns:ds="http://schemas.openxmlformats.org/officeDocument/2006/customXml" ds:itemID="{BE151744-6E06-47A2-9BE7-86A288440879}">
  <ds:schemaRefs/>
</ds:datastoreItem>
</file>

<file path=customXml/itemProps14.xml><?xml version="1.0" encoding="utf-8"?>
<ds:datastoreItem xmlns:ds="http://schemas.openxmlformats.org/officeDocument/2006/customXml" ds:itemID="{D1BC2A2B-F8AB-4BEA-93DD-FB217304461B}">
  <ds:schemaRefs/>
</ds:datastoreItem>
</file>

<file path=customXml/itemProps15.xml><?xml version="1.0" encoding="utf-8"?>
<ds:datastoreItem xmlns:ds="http://schemas.openxmlformats.org/officeDocument/2006/customXml" ds:itemID="{0F479866-A681-4786-96E0-D843A6DD9494}">
  <ds:schemaRefs/>
</ds:datastoreItem>
</file>

<file path=customXml/itemProps16.xml><?xml version="1.0" encoding="utf-8"?>
<ds:datastoreItem xmlns:ds="http://schemas.openxmlformats.org/officeDocument/2006/customXml" ds:itemID="{08BFC112-0E86-4AE7-B655-6D1926B6F960}">
  <ds:schemaRefs/>
</ds:datastoreItem>
</file>

<file path=customXml/itemProps17.xml><?xml version="1.0" encoding="utf-8"?>
<ds:datastoreItem xmlns:ds="http://schemas.openxmlformats.org/officeDocument/2006/customXml" ds:itemID="{1B01218D-E9AB-4664-B1B2-0C041E082BC7}">
  <ds:schemaRefs/>
</ds:datastoreItem>
</file>

<file path=customXml/itemProps18.xml><?xml version="1.0" encoding="utf-8"?>
<ds:datastoreItem xmlns:ds="http://schemas.openxmlformats.org/officeDocument/2006/customXml" ds:itemID="{B2D1E61B-0EBA-446F-BA79-953EDF8D68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vt:lpstr>
      <vt:lpstr>Avg. waittime</vt:lpstr>
      <vt:lpstr>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SINGH</dc:creator>
  <cp:lastModifiedBy>ANURAG SINGH</cp:lastModifiedBy>
  <dcterms:created xsi:type="dcterms:W3CDTF">2025-11-28T14:18:52Z</dcterms:created>
  <dcterms:modified xsi:type="dcterms:W3CDTF">2025-11-29T07:57:19Z</dcterms:modified>
</cp:coreProperties>
</file>